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pmaisterceirizacao.sharepoint.com/sites/EventosPMais/Shared Documents/General/P Mais - Documentação P Mais Eventos/P Mais - Modelos e Padrões/"/>
    </mc:Choice>
  </mc:AlternateContent>
  <xr:revisionPtr revIDLastSave="63" documentId="8_{040DE1CA-3C5D-4048-9824-89CC059EA470}" xr6:coauthVersionLast="47" xr6:coauthVersionMax="47" xr10:uidLastSave="{914B48BF-C5B9-4BBF-A75C-942AD38B995F}"/>
  <bookViews>
    <workbookView xWindow="-108" yWindow="-108" windowWidth="23256" windowHeight="12456" tabRatio="500" xr2:uid="{00000000-000D-0000-FFFF-FFFF00000000}"/>
  </bookViews>
  <sheets>
    <sheet name="Controle de Evento" sheetId="1" r:id="rId1"/>
    <sheet name="Configurações" sheetId="2" r:id="rId2"/>
    <sheet name="Resumo Financeiro" sheetId="3" r:id="rId3"/>
  </sheets>
  <definedNames>
    <definedName name="_xlnm.Print_Titles" localSheetId="0">'Controle de Evento'!$1:$8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7" i="1" l="1"/>
  <c r="F117" i="1"/>
  <c r="J116" i="1"/>
  <c r="F116" i="1"/>
  <c r="J113" i="1"/>
  <c r="F113" i="1"/>
  <c r="J112" i="1"/>
  <c r="F112" i="1"/>
  <c r="J111" i="1"/>
  <c r="F111" i="1"/>
  <c r="J110" i="1"/>
  <c r="F110" i="1"/>
  <c r="J109" i="1"/>
  <c r="F109" i="1"/>
  <c r="J108" i="1"/>
  <c r="F108" i="1"/>
  <c r="J107" i="1"/>
  <c r="F107" i="1"/>
  <c r="J106" i="1"/>
  <c r="F106" i="1"/>
  <c r="J105" i="1"/>
  <c r="F105" i="1"/>
  <c r="J104" i="1"/>
  <c r="F104" i="1"/>
  <c r="G103" i="1"/>
  <c r="C103" i="1"/>
  <c r="J102" i="1"/>
  <c r="F102" i="1"/>
  <c r="J101" i="1"/>
  <c r="F101" i="1"/>
  <c r="J100" i="1"/>
  <c r="F100" i="1"/>
  <c r="J99" i="1"/>
  <c r="F99" i="1"/>
  <c r="J98" i="1"/>
  <c r="F98" i="1"/>
  <c r="X90" i="1"/>
  <c r="V90" i="1"/>
  <c r="E15" i="3" s="1"/>
  <c r="N89" i="1"/>
  <c r="Z89" i="1" s="1"/>
  <c r="Z90" i="1" s="1"/>
  <c r="F15" i="3" s="1"/>
  <c r="J89" i="1"/>
  <c r="J90" i="1" s="1"/>
  <c r="C15" i="3" s="1"/>
  <c r="F89" i="1"/>
  <c r="F90" i="1" s="1"/>
  <c r="B15" i="3" s="1"/>
  <c r="X86" i="1"/>
  <c r="V86" i="1"/>
  <c r="E14" i="3" s="1"/>
  <c r="N85" i="1"/>
  <c r="Z85" i="1" s="1"/>
  <c r="J85" i="1"/>
  <c r="F85" i="1"/>
  <c r="N84" i="1"/>
  <c r="Z84" i="1" s="1"/>
  <c r="J84" i="1"/>
  <c r="F84" i="1"/>
  <c r="N83" i="1"/>
  <c r="Z83" i="1" s="1"/>
  <c r="J83" i="1"/>
  <c r="F83" i="1"/>
  <c r="N82" i="1"/>
  <c r="Z82" i="1" s="1"/>
  <c r="J82" i="1"/>
  <c r="F82" i="1"/>
  <c r="N81" i="1"/>
  <c r="Z81" i="1" s="1"/>
  <c r="J81" i="1"/>
  <c r="F81" i="1"/>
  <c r="N80" i="1"/>
  <c r="Z80" i="1" s="1"/>
  <c r="J80" i="1"/>
  <c r="F80" i="1"/>
  <c r="X77" i="1"/>
  <c r="V77" i="1"/>
  <c r="E13" i="3" s="1"/>
  <c r="N76" i="1"/>
  <c r="Z76" i="1" s="1"/>
  <c r="J76" i="1"/>
  <c r="F76" i="1"/>
  <c r="N75" i="1"/>
  <c r="Z75" i="1" s="1"/>
  <c r="J75" i="1"/>
  <c r="F75" i="1"/>
  <c r="N74" i="1"/>
  <c r="Z74" i="1" s="1"/>
  <c r="J74" i="1"/>
  <c r="F74" i="1"/>
  <c r="N73" i="1"/>
  <c r="Z73" i="1" s="1"/>
  <c r="J73" i="1"/>
  <c r="F73" i="1"/>
  <c r="N72" i="1"/>
  <c r="Z72" i="1" s="1"/>
  <c r="J72" i="1"/>
  <c r="F72" i="1"/>
  <c r="N71" i="1"/>
  <c r="Z71" i="1" s="1"/>
  <c r="J71" i="1"/>
  <c r="F71" i="1"/>
  <c r="N70" i="1"/>
  <c r="Z70" i="1" s="1"/>
  <c r="J70" i="1"/>
  <c r="F70" i="1"/>
  <c r="N69" i="1"/>
  <c r="Z69" i="1" s="1"/>
  <c r="J69" i="1"/>
  <c r="F69" i="1"/>
  <c r="X66" i="1"/>
  <c r="V66" i="1"/>
  <c r="E12" i="3" s="1"/>
  <c r="N65" i="1"/>
  <c r="Z65" i="1" s="1"/>
  <c r="J65" i="1"/>
  <c r="F65" i="1"/>
  <c r="N64" i="1"/>
  <c r="Z64" i="1" s="1"/>
  <c r="J64" i="1"/>
  <c r="F64" i="1"/>
  <c r="N63" i="1"/>
  <c r="Z63" i="1" s="1"/>
  <c r="J63" i="1"/>
  <c r="F63" i="1"/>
  <c r="N62" i="1"/>
  <c r="Z62" i="1" s="1"/>
  <c r="J62" i="1"/>
  <c r="F62" i="1"/>
  <c r="N61" i="1"/>
  <c r="J61" i="1"/>
  <c r="F61" i="1"/>
  <c r="X58" i="1"/>
  <c r="V58" i="1"/>
  <c r="E11" i="3" s="1"/>
  <c r="N57" i="1"/>
  <c r="Z57" i="1" s="1"/>
  <c r="J57" i="1"/>
  <c r="F57" i="1"/>
  <c r="N56" i="1"/>
  <c r="Z56" i="1" s="1"/>
  <c r="J56" i="1"/>
  <c r="F56" i="1"/>
  <c r="N55" i="1"/>
  <c r="J55" i="1"/>
  <c r="F55" i="1"/>
  <c r="X52" i="1"/>
  <c r="V52" i="1"/>
  <c r="E10" i="3" s="1"/>
  <c r="N51" i="1"/>
  <c r="Z51" i="1" s="1"/>
  <c r="J51" i="1"/>
  <c r="F51" i="1"/>
  <c r="N50" i="1"/>
  <c r="J50" i="1"/>
  <c r="F50" i="1"/>
  <c r="N49" i="1"/>
  <c r="Z49" i="1" s="1"/>
  <c r="J49" i="1"/>
  <c r="F49" i="1"/>
  <c r="X46" i="1"/>
  <c r="V46" i="1"/>
  <c r="E9" i="3" s="1"/>
  <c r="N45" i="1"/>
  <c r="Z45" i="1" s="1"/>
  <c r="J45" i="1"/>
  <c r="F45" i="1"/>
  <c r="N44" i="1"/>
  <c r="Z44" i="1" s="1"/>
  <c r="J44" i="1"/>
  <c r="F44" i="1"/>
  <c r="N43" i="1"/>
  <c r="Z43" i="1" s="1"/>
  <c r="J43" i="1"/>
  <c r="F43" i="1"/>
  <c r="N42" i="1"/>
  <c r="Z42" i="1" s="1"/>
  <c r="J42" i="1"/>
  <c r="F42" i="1"/>
  <c r="N41" i="1"/>
  <c r="Z41" i="1" s="1"/>
  <c r="J41" i="1"/>
  <c r="F41" i="1"/>
  <c r="X38" i="1"/>
  <c r="V38" i="1"/>
  <c r="E8" i="3" s="1"/>
  <c r="N37" i="1"/>
  <c r="Z37" i="1" s="1"/>
  <c r="J37" i="1"/>
  <c r="F37" i="1"/>
  <c r="N36" i="1"/>
  <c r="Z36" i="1" s="1"/>
  <c r="J36" i="1"/>
  <c r="F36" i="1"/>
  <c r="N35" i="1"/>
  <c r="J35" i="1"/>
  <c r="F35" i="1"/>
  <c r="X32" i="1"/>
  <c r="V32" i="1"/>
  <c r="E7" i="3" s="1"/>
  <c r="N31" i="1"/>
  <c r="Z31" i="1" s="1"/>
  <c r="J31" i="1"/>
  <c r="F31" i="1"/>
  <c r="N30" i="1"/>
  <c r="Z30" i="1" s="1"/>
  <c r="J30" i="1"/>
  <c r="F30" i="1"/>
  <c r="N29" i="1"/>
  <c r="Z29" i="1" s="1"/>
  <c r="J29" i="1"/>
  <c r="F29" i="1"/>
  <c r="N28" i="1"/>
  <c r="Z28" i="1" s="1"/>
  <c r="J28" i="1"/>
  <c r="F28" i="1"/>
  <c r="N27" i="1"/>
  <c r="J27" i="1"/>
  <c r="F27" i="1"/>
  <c r="X24" i="1"/>
  <c r="V24" i="1"/>
  <c r="E6" i="3" s="1"/>
  <c r="N23" i="1"/>
  <c r="Z23" i="1" s="1"/>
  <c r="J23" i="1"/>
  <c r="F23" i="1"/>
  <c r="N22" i="1"/>
  <c r="J22" i="1"/>
  <c r="F22" i="1"/>
  <c r="N21" i="1"/>
  <c r="Z21" i="1" s="1"/>
  <c r="J21" i="1"/>
  <c r="F21" i="1"/>
  <c r="X18" i="1"/>
  <c r="V18" i="1"/>
  <c r="E5" i="3" s="1"/>
  <c r="N17" i="1"/>
  <c r="Z17" i="1" s="1"/>
  <c r="J17" i="1"/>
  <c r="F17" i="1"/>
  <c r="N16" i="1"/>
  <c r="J16" i="1"/>
  <c r="F16" i="1"/>
  <c r="N15" i="1"/>
  <c r="Z15" i="1" s="1"/>
  <c r="J15" i="1"/>
  <c r="F15" i="1"/>
  <c r="X12" i="1"/>
  <c r="V12" i="1"/>
  <c r="E4" i="3" s="1"/>
  <c r="N11" i="1"/>
  <c r="Z11" i="1" s="1"/>
  <c r="J11" i="1"/>
  <c r="F11" i="1"/>
  <c r="N10" i="1"/>
  <c r="J10" i="1"/>
  <c r="F10" i="1"/>
  <c r="F114" i="1" l="1"/>
  <c r="J18" i="1"/>
  <c r="C5" i="3" s="1"/>
  <c r="J24" i="1"/>
  <c r="C6" i="3" s="1"/>
  <c r="F58" i="1"/>
  <c r="B11" i="3" s="1"/>
  <c r="J114" i="1"/>
  <c r="N38" i="1"/>
  <c r="D8" i="3" s="1"/>
  <c r="J58" i="1"/>
  <c r="C11" i="3" s="1"/>
  <c r="N52" i="1"/>
  <c r="D10" i="3" s="1"/>
  <c r="N58" i="1"/>
  <c r="D11" i="3" s="1"/>
  <c r="F46" i="1"/>
  <c r="B9" i="3" s="1"/>
  <c r="F103" i="1"/>
  <c r="F66" i="1"/>
  <c r="B12" i="3" s="1"/>
  <c r="N18" i="1"/>
  <c r="D5" i="3" s="1"/>
  <c r="J52" i="1"/>
  <c r="C10" i="3" s="1"/>
  <c r="F12" i="1"/>
  <c r="B4" i="3" s="1"/>
  <c r="J12" i="1"/>
  <c r="C4" i="3" s="1"/>
  <c r="F18" i="1"/>
  <c r="B5" i="3" s="1"/>
  <c r="J66" i="1"/>
  <c r="C12" i="3" s="1"/>
  <c r="N24" i="1"/>
  <c r="D6" i="3" s="1"/>
  <c r="J32" i="1"/>
  <c r="C7" i="3" s="1"/>
  <c r="F38" i="1"/>
  <c r="B8" i="3" s="1"/>
  <c r="J46" i="1"/>
  <c r="C9" i="3" s="1"/>
  <c r="N66" i="1"/>
  <c r="D12" i="3" s="1"/>
  <c r="F24" i="1"/>
  <c r="B6" i="3" s="1"/>
  <c r="N12" i="1"/>
  <c r="D4" i="3" s="1"/>
  <c r="Z10" i="1"/>
  <c r="Z12" i="1" s="1"/>
  <c r="F4" i="3" s="1"/>
  <c r="N32" i="1"/>
  <c r="D7" i="3" s="1"/>
  <c r="J38" i="1"/>
  <c r="C8" i="3" s="1"/>
  <c r="F52" i="1"/>
  <c r="B10" i="3" s="1"/>
  <c r="F77" i="1"/>
  <c r="B13" i="3" s="1"/>
  <c r="F32" i="1"/>
  <c r="B7" i="3" s="1"/>
  <c r="J77" i="1"/>
  <c r="C13" i="3" s="1"/>
  <c r="J103" i="1"/>
  <c r="F86" i="1"/>
  <c r="B14" i="3" s="1"/>
  <c r="J86" i="1"/>
  <c r="C14" i="3" s="1"/>
  <c r="X92" i="1"/>
  <c r="N90" i="1"/>
  <c r="D15" i="3" s="1"/>
  <c r="Z77" i="1"/>
  <c r="F13" i="3" s="1"/>
  <c r="E17" i="3"/>
  <c r="Z86" i="1"/>
  <c r="F14" i="3" s="1"/>
  <c r="Z46" i="1"/>
  <c r="F9" i="3" s="1"/>
  <c r="N46" i="1"/>
  <c r="D9" i="3" s="1"/>
  <c r="Z16" i="1"/>
  <c r="Z18" i="1" s="1"/>
  <c r="F5" i="3" s="1"/>
  <c r="Z27" i="1"/>
  <c r="Z32" i="1" s="1"/>
  <c r="F7" i="3" s="1"/>
  <c r="Z55" i="1"/>
  <c r="Z58" i="1" s="1"/>
  <c r="F11" i="3" s="1"/>
  <c r="N86" i="1"/>
  <c r="D14" i="3" s="1"/>
  <c r="Z22" i="1"/>
  <c r="Z24" i="1" s="1"/>
  <c r="F6" i="3" s="1"/>
  <c r="Z35" i="1"/>
  <c r="Z38" i="1" s="1"/>
  <c r="F8" i="3" s="1"/>
  <c r="Z50" i="1"/>
  <c r="Z52" i="1" s="1"/>
  <c r="F10" i="3" s="1"/>
  <c r="Z61" i="1"/>
  <c r="Z66" i="1" s="1"/>
  <c r="F12" i="3" s="1"/>
  <c r="V92" i="1"/>
  <c r="N77" i="1"/>
  <c r="D13" i="3" s="1"/>
  <c r="J118" i="1" l="1"/>
  <c r="F118" i="1"/>
  <c r="F92" i="1"/>
  <c r="J92" i="1"/>
  <c r="B17" i="3"/>
  <c r="C17" i="3"/>
  <c r="F17" i="3"/>
  <c r="Z92" i="1"/>
  <c r="N92" i="1"/>
  <c r="D17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<sst xmlns="http://schemas.openxmlformats.org/spreadsheetml/2006/main" count="616" uniqueCount="506">
  <si>
    <t>CONTROLE FINANCEIRO DE EVENTO</t>
  </si>
  <si>
    <t xml:space="preserve">  Gerar Relatório para Cliente</t>
  </si>
  <si>
    <t>ctrl + a = Gerar Relatório Cliente</t>
  </si>
  <si>
    <t>Evento:</t>
  </si>
  <si>
    <t>Local:</t>
  </si>
  <si>
    <t>Data:</t>
  </si>
  <si>
    <t>Público:</t>
  </si>
  <si>
    <t>Produtor:</t>
  </si>
  <si>
    <t>Cliente:</t>
  </si>
  <si>
    <t>SERVIÇO</t>
  </si>
  <si>
    <t>DESCRITIVO</t>
  </si>
  <si>
    <t>PLANEJADO</t>
  </si>
  <si>
    <t>ORÇADO</t>
  </si>
  <si>
    <t>CONTRATADO</t>
  </si>
  <si>
    <t>ÁREA DO PRODUTOR</t>
  </si>
  <si>
    <t>ÁREA DO FINANCEIRO</t>
  </si>
  <si>
    <t>BV</t>
  </si>
  <si>
    <t>SALDO</t>
  </si>
  <si>
    <t>Qtd
Itens</t>
  </si>
  <si>
    <t>Qtd
Dias</t>
  </si>
  <si>
    <t>Valor
Unit. (R$)</t>
  </si>
  <si>
    <t>Valor
Total (R$)</t>
  </si>
  <si>
    <t>Status
Contratação</t>
  </si>
  <si>
    <t>Empresa</t>
  </si>
  <si>
    <t>Contato</t>
  </si>
  <si>
    <t>Telefone</t>
  </si>
  <si>
    <t>E-mail
Fornecedor</t>
  </si>
  <si>
    <t>Status NF</t>
  </si>
  <si>
    <t>Data
Pagamento</t>
  </si>
  <si>
    <t>Valor
Pago (R$)</t>
  </si>
  <si>
    <t>Obs.
Parcelas/Notas</t>
  </si>
  <si>
    <t>BV
Acordado</t>
  </si>
  <si>
    <t>BV
Recebido?</t>
  </si>
  <si>
    <t xml:space="preserve">  PRÉ EVENTO</t>
  </si>
  <si>
    <t>Visita Técnica</t>
  </si>
  <si>
    <t>Reuniões Pré-Evento</t>
  </si>
  <si>
    <t>TOTAL PRÉ EVENTO</t>
  </si>
  <si>
    <t xml:space="preserve">  HOSPEDAGEM E ALIMENTAÇÃO</t>
  </si>
  <si>
    <t>Hospedagem Organização</t>
  </si>
  <si>
    <t>Hospedagem Palestrantes</t>
  </si>
  <si>
    <t>Alimentação Equipe</t>
  </si>
  <si>
    <t>TOTAL HOSPEDAGEM E ALIMENTAÇÃO</t>
  </si>
  <si>
    <t xml:space="preserve">  PASSAGENS AÉREAS</t>
  </si>
  <si>
    <t>Passagem Aérea Organização</t>
  </si>
  <si>
    <t>Passagem Aérea Palestrantes</t>
  </si>
  <si>
    <t>Passagem Aérea Outros</t>
  </si>
  <si>
    <t>TOTAL PASSAGENS AÉREAS</t>
  </si>
  <si>
    <t xml:space="preserve">  A&amp;B (ALIMENTOS E BEBIDAS)</t>
  </si>
  <si>
    <t>Coffee Break</t>
  </si>
  <si>
    <t>Água Participantes</t>
  </si>
  <si>
    <t>Garrafa de Café</t>
  </si>
  <si>
    <t>Serviço de Sala</t>
  </si>
  <si>
    <t>Coquetel/Happy Hour</t>
  </si>
  <si>
    <t>TOTAL A&amp;B (ALIMENTOS E BEBIDAS)</t>
  </si>
  <si>
    <t xml:space="preserve">  LOCAÇÃO DE ESPAÇOS</t>
  </si>
  <si>
    <t>Locação Auditório Principal</t>
  </si>
  <si>
    <t>Locação Salas Paralelas</t>
  </si>
  <si>
    <t>Locação Área de Exposição</t>
  </si>
  <si>
    <t>TOTAL LOCAÇÃO DE ESPAÇOS</t>
  </si>
  <si>
    <t xml:space="preserve">  RECURSOS HUMANOS</t>
  </si>
  <si>
    <t>Recepcionistas e Apoio</t>
  </si>
  <si>
    <t>Mestre de Cerimônia</t>
  </si>
  <si>
    <t>Equipe de Segurança</t>
  </si>
  <si>
    <t>Equipe Bombeiro</t>
  </si>
  <si>
    <t>Equipe Limpeza</t>
  </si>
  <si>
    <t>TOTAL RECURSOS HUMANOS</t>
  </si>
  <si>
    <t xml:space="preserve">  T.I.</t>
  </si>
  <si>
    <t>Site e Sistema de Inscrição</t>
  </si>
  <si>
    <t>APP do Evento</t>
  </si>
  <si>
    <t>Suporte Local T.I.</t>
  </si>
  <si>
    <t>TOTAL T.I.</t>
  </si>
  <si>
    <t xml:space="preserve">  EQUIPAMENTOS AUDIOVISUAIS</t>
  </si>
  <si>
    <t>Equipamentos Sala Principal</t>
  </si>
  <si>
    <t>Equipamentos Salas Paralelas</t>
  </si>
  <si>
    <t>Equipamentos Credenciamento</t>
  </si>
  <si>
    <t>TOTAL EQUIPAMENTOS AUDIOVISUAIS</t>
  </si>
  <si>
    <t xml:space="preserve">  MATERIAL DO PARTICIPANTE</t>
  </si>
  <si>
    <t>Kit Participante</t>
  </si>
  <si>
    <t>Crachá</t>
  </si>
  <si>
    <t>Fita de Crachá</t>
  </si>
  <si>
    <t>Premiação</t>
  </si>
  <si>
    <t>Frete Material</t>
  </si>
  <si>
    <t>TOTAL MATERIAL DO PARTICIPANTE</t>
  </si>
  <si>
    <t xml:space="preserve">  INFRAESTRUTURA</t>
  </si>
  <si>
    <t>Montadora de Stands</t>
  </si>
  <si>
    <t>TVs para Stands</t>
  </si>
  <si>
    <t>Operacional</t>
  </si>
  <si>
    <t>Credenciamento</t>
  </si>
  <si>
    <t>Mobiliário</t>
  </si>
  <si>
    <t>Cadeiras</t>
  </si>
  <si>
    <t>Sinalização</t>
  </si>
  <si>
    <t>Extras Operacional</t>
  </si>
  <si>
    <t>TOTAL INFRAESTRUTURA</t>
  </si>
  <si>
    <t xml:space="preserve">  DIVERSOS</t>
  </si>
  <si>
    <t>Agência de Criação</t>
  </si>
  <si>
    <t>Seguro Responsabilidade Civil</t>
  </si>
  <si>
    <t>Material de Escritório</t>
  </si>
  <si>
    <t>Cobertura Fotográfica</t>
  </si>
  <si>
    <t>Internet WiFi</t>
  </si>
  <si>
    <t>Material de Divulgação</t>
  </si>
  <si>
    <t>TOTAL DIVERSOS</t>
  </si>
  <si>
    <t xml:space="preserve">  TAXA DE ADMINISTRAÇÃO</t>
  </si>
  <si>
    <t>Taxa Administrativa</t>
  </si>
  <si>
    <t>TOTAL TAXA DE ADMINISTRAÇÃO</t>
  </si>
  <si>
    <t>⬛ TOTAL GERAL DESPESAS</t>
  </si>
  <si>
    <t>🟢 RECEITAS</t>
  </si>
  <si>
    <t>REALIZADO</t>
  </si>
  <si>
    <t>Inscrição</t>
  </si>
  <si>
    <t>Cortesias</t>
  </si>
  <si>
    <t>Estudante Sócio</t>
  </si>
  <si>
    <t>Estudante Não Sócio</t>
  </si>
  <si>
    <t>Sócio</t>
  </si>
  <si>
    <t>Não Sócio</t>
  </si>
  <si>
    <t>Total Inscrições</t>
  </si>
  <si>
    <t>Patrocínio</t>
  </si>
  <si>
    <t>Platina (1 cotas disponiveis)</t>
  </si>
  <si>
    <t>Ouro (5 cotas disponiveis)</t>
  </si>
  <si>
    <t>Prata (6 cotas disponiveis)</t>
  </si>
  <si>
    <t>Bronze (12 cotas disponiveis)</t>
  </si>
  <si>
    <t>Bronze SEM STAND</t>
  </si>
  <si>
    <t>Jantar de Confraternização</t>
  </si>
  <si>
    <t>Coffee Break (8 cotas disponiveis)</t>
  </si>
  <si>
    <t>Cadeiras Plenária (4 cotas disponiveis)</t>
  </si>
  <si>
    <t>Totens Carregadores de Celular</t>
  </si>
  <si>
    <t>Total Patrocínio</t>
  </si>
  <si>
    <t>OUTRAS RECEITAS</t>
  </si>
  <si>
    <t>Credencial de Expositor</t>
  </si>
  <si>
    <t>TOTAL GERAL RECEITAS</t>
  </si>
  <si>
    <t>LEGENDA DE STATUS</t>
  </si>
  <si>
    <t>STATUS PRODUTOR:</t>
  </si>
  <si>
    <t>Aprovado</t>
  </si>
  <si>
    <t>Aguardando Aprovação</t>
  </si>
  <si>
    <t>Negociação</t>
  </si>
  <si>
    <t>Em Cotação</t>
  </si>
  <si>
    <t>STATUS FINANCEIRO:</t>
  </si>
  <si>
    <t>Solicitado</t>
  </si>
  <si>
    <t>Recebido</t>
  </si>
  <si>
    <t>Enviado/Lançado</t>
  </si>
  <si>
    <t>Pago</t>
  </si>
  <si>
    <t>CONFIGURAÇÕES DO SISTEMA</t>
  </si>
  <si>
    <t>Nome do Evento</t>
  </si>
  <si>
    <t>E-mail do Financeiro</t>
  </si>
  <si>
    <t>E-mail do Produtor</t>
  </si>
  <si>
    <t>Nome do Produtor</t>
  </si>
  <si>
    <t>⚠️  BOTÃO: Clique com botão direito no botão roxo &gt; "Atribuir Macro" &gt; GerarRelatorioCliente</t>
  </si>
  <si>
    <t>CÓDIGO VBA — COLE NO EDITOR (Alt+F11)</t>
  </si>
  <si>
    <t>▼  BLOCO 1 — No módulo da planilha "Controle de Evento" (duplo clique no ícone de planilha no VBA)</t>
  </si>
  <si>
    <t>' ============================================================</t>
  </si>
  <si>
    <t>' BLOCO 1 - Cole no módulo da PLANILHA 'Controle de Evento'</t>
  </si>
  <si>
    <t>' Alt+F11 &gt; duplo clique em 'Controle de Evento' (ícone planilha)</t>
  </si>
  <si>
    <t>Private Sub Worksheet_Change(ByVal Target As Range)</t>
  </si>
  <si>
    <t xml:space="preserve">  On Error GoTo Fim</t>
  </si>
  <si>
    <t xml:space="preserve">  Dim emailFin   As String</t>
  </si>
  <si>
    <t xml:space="preserve">  Dim emailProd  As String</t>
  </si>
  <si>
    <t xml:space="preserve">  Dim nomeEvento As String</t>
  </si>
  <si>
    <t xml:space="preserve">  emailFin   = Sheets("Configurações").Range("B4").Value</t>
  </si>
  <si>
    <t xml:space="preserve">  emailProd  = Sheets("Configurações").Range("B5").Value</t>
  </si>
  <si>
    <t xml:space="preserve">  nomeEvento = Sheets("Configurações").Range("B3").Value</t>
  </si>
  <si>
    <t xml:space="preserve">  If nomeEvento = "" Then nomeEvento = "Evento"</t>
  </si>
  <si>
    <t xml:space="preserve">  ' --- Aprovado pelo produtor -&gt; e-mail para financeiro ---</t>
  </si>
  <si>
    <t xml:space="preserve">  If Not Intersect(Target, Me.Columns(15)) Is Nothing Then</t>
  </si>
  <si>
    <t xml:space="preserve">    If UCase(Trim(Target.Value)) = "APROVADO" Then</t>
  </si>
  <si>
    <t xml:space="preserve">      Call EnviarEmail(emailFin, _</t>
  </si>
  <si>
    <t xml:space="preserve">        "Orçamento Aprovado - " &amp; nomeEvento, _</t>
  </si>
  <si>
    <t xml:space="preserve">        "Olá," &amp; vbCrLf &amp; vbCrLf &amp; _</t>
  </si>
  <si>
    <t xml:space="preserve">        "O serviço '" &amp; Me.Cells(Target.Row, 1).Value &amp; "'" &amp; vbCrLf &amp; _</t>
  </si>
  <si>
    <t xml:space="preserve">        "do evento '" &amp; nomeEvento &amp; "' foi APROVADO pelo produtor." &amp; vbCrLf &amp; vbCrLf &amp; _</t>
  </si>
  <si>
    <t xml:space="preserve">        "Atenciosamente," &amp; vbCrLf &amp; "Sistema Pmais Eventos")</t>
  </si>
  <si>
    <t xml:space="preserve">    End If</t>
  </si>
  <si>
    <t xml:space="preserve">  End If</t>
  </si>
  <si>
    <t xml:space="preserve">  ' --- Pago pelo financeiro -&gt; e-mail para produtor ---</t>
  </si>
  <si>
    <t xml:space="preserve">  If Not Intersect(Target, Me.Columns(20)) Is Nothing Then</t>
  </si>
  <si>
    <t xml:space="preserve">    If UCase(Trim(Target.Value)) = "PAGO" Then</t>
  </si>
  <si>
    <t xml:space="preserve">      Call EnviarEmail(emailProd, _</t>
  </si>
  <si>
    <t xml:space="preserve">        "Pagamento Confirmado - " &amp; nomeEvento, _</t>
  </si>
  <si>
    <t xml:space="preserve">        "O pagamento do serviço '" &amp; Me.Cells(Target.Row, 1).Value &amp; "'" &amp; vbCrLf &amp; _</t>
  </si>
  <si>
    <t xml:space="preserve">        "do evento '" &amp; nomeEvento &amp; "' foi CONFIRMADO pelo financeiro." &amp; vbCrLf &amp; vbCrLf &amp; _</t>
  </si>
  <si>
    <t>Fim:</t>
  </si>
  <si>
    <t>End Sub</t>
  </si>
  <si>
    <t>▼  BLOCO 2 — Em um MÓDULO NOVO (Insert &gt; Module no editor VBA)</t>
  </si>
  <si>
    <t>' BLOCO 2 - Cole em um MÓDULO NOVO (Insert &gt; Module)</t>
  </si>
  <si>
    <t>Sub GerarRelatorioCliente()</t>
  </si>
  <si>
    <t xml:space="preserve">  Dim wsOrigem  As Worksheet</t>
  </si>
  <si>
    <t xml:space="preserve">  Dim wbNovo    As Workbook</t>
  </si>
  <si>
    <t xml:space="preserve">  Dim wsCliente As Worksheet</t>
  </si>
  <si>
    <t xml:space="preserve">  Dim nomeEvento  As String</t>
  </si>
  <si>
    <t xml:space="preserve">  Dim nomeArquivo As String</t>
  </si>
  <si>
    <t xml:space="preserve">  Dim caminho     As String</t>
  </si>
  <si>
    <t xml:space="preserve">  Dim r As Long, cRow As Long</t>
  </si>
  <si>
    <t xml:space="preserve">  Dim cellA As String</t>
  </si>
  <si>
    <t xml:space="preserve">  Dim fSize As Double</t>
  </si>
  <si>
    <t xml:space="preserve">  Dim isSection As Boolean, isTotal As Boolean, isData As Boolean</t>
  </si>
  <si>
    <t xml:space="preserve">  Dim secIdx As Integer</t>
  </si>
  <si>
    <t xml:space="preserve">  Dim k As Integer</t>
  </si>
  <si>
    <t xml:space="preserve">  Set wsOrigem = ThisWorkbook.Sheets("Controle de Evento")</t>
  </si>
  <si>
    <t xml:space="preserve">  nomeEvento   = ThisWorkbook.Sheets("Configurações").Range("B3").Value</t>
  </si>
  <si>
    <t xml:space="preserve">  Set wbNovo    = Workbooks.Add</t>
  </si>
  <si>
    <t xml:space="preserve">  Set wsCliente = wbNovo.Sheets(1)</t>
  </si>
  <si>
    <t xml:space="preserve">  wsCliente.Name = "Resumo para Cliente"</t>
  </si>
  <si>
    <t xml:space="preserve">  ' ---- Cores das seções ----</t>
  </si>
  <si>
    <t xml:space="preserve">  Dim secCores(11) As Long</t>
  </si>
  <si>
    <t xml:space="preserve">  secCores(0)  = RGB(0,   137, 123)</t>
  </si>
  <si>
    <t xml:space="preserve">  secCores(1)  = RGB(57,   73, 171)</t>
  </si>
  <si>
    <t xml:space="preserve">  secCores(2)  = RGB(25,  118, 210)</t>
  </si>
  <si>
    <t xml:space="preserve">  secCores(3)  = RGB(0,   131, 143)</t>
  </si>
  <si>
    <t xml:space="preserve">  secCores(4)  = RGB(46,  125,  50)</t>
  </si>
  <si>
    <t xml:space="preserve">  secCores(5)  = RGB(106,  27, 154)</t>
  </si>
  <si>
    <t xml:space="preserve">  secCores(6)  = RGB(2,   119, 189)</t>
  </si>
  <si>
    <t xml:space="preserve">  secCores(7)  = RGB(85,  139,  47)</t>
  </si>
  <si>
    <t xml:space="preserve">  secCores(8)  = RGB(230,  81,   0)</t>
  </si>
  <si>
    <t xml:space="preserve">  secCores(9)  = RGB(78,   52,  46)</t>
  </si>
  <si>
    <t xml:space="preserve">  secCores(10) = RGB(55,   71,  79)</t>
  </si>
  <si>
    <t xml:space="preserve">  secCores(11) = RGB(136,  14,  79)</t>
  </si>
  <si>
    <t xml:space="preserve">  ' ---- LINHA 1: Título ----</t>
  </si>
  <si>
    <t xml:space="preserve">  wsCliente.Range("A1:P1").Merge</t>
  </si>
  <si>
    <t xml:space="preserve">  With wsCliente.Range("A1")</t>
  </si>
  <si>
    <t xml:space="preserve">    .Value               = "RELATÓRIO FINANCEIRO - " &amp; UCase(nomeEvento)</t>
  </si>
  <si>
    <t xml:space="preserve">    .Font.Bold           = True</t>
  </si>
  <si>
    <t xml:space="preserve">    .Font.Size           = 14</t>
  </si>
  <si>
    <t xml:space="preserve">    .Font.Color          = RGB(255, 255, 255)</t>
  </si>
  <si>
    <t xml:space="preserve">    .Interior.Color      = RGB(0, 181, 165)</t>
  </si>
  <si>
    <t xml:space="preserve">    .HorizontalAlignment = xlCenter</t>
  </si>
  <si>
    <t xml:space="preserve">    .VerticalAlignment   = xlCenter</t>
  </si>
  <si>
    <t xml:space="preserve">    .RowHeight           = 35</t>
  </si>
  <si>
    <t xml:space="preserve">  End With</t>
  </si>
  <si>
    <t xml:space="preserve">  ' ---- LINHA 2: Info evento ----</t>
  </si>
  <si>
    <t xml:space="preserve">  wsCliente.Rows(2).RowHeight = 20</t>
  </si>
  <si>
    <t xml:space="preserve">  wsCliente.Range("A2").Value = "Evento:"</t>
  </si>
  <si>
    <t xml:space="preserve">  wsCliente.Range("B2").Value = nomeEvento</t>
  </si>
  <si>
    <t xml:space="preserve">  wsCliente.Range("F2").Value = "Data:"</t>
  </si>
  <si>
    <t xml:space="preserve">  wsCliente.Range("G2").Value = wsOrigem.Range("C4").Value</t>
  </si>
  <si>
    <t xml:space="preserve">  wsCliente.Range("K2").Value = "Local:"</t>
  </si>
  <si>
    <t xml:space="preserve">  wsCliente.Range("L2").Value = wsOrigem.Range("J3").Value</t>
  </si>
  <si>
    <t xml:space="preserve">  With wsCliente.Range("A2:P2")</t>
  </si>
  <si>
    <t xml:space="preserve">    .Interior.Color = RGB(240, 250, 250) : .Font.Size = 10</t>
  </si>
  <si>
    <t xml:space="preserve">  wsCliente.Range("A2").Font.Bold = True : wsCliente.Range("A2").Font.Color = RGB(0, 150, 136)</t>
  </si>
  <si>
    <t xml:space="preserve">  wsCliente.Range("F2").Font.Bold = True : wsCliente.Range("F2").Font.Color = RGB(0, 150, 136)</t>
  </si>
  <si>
    <t xml:space="preserve">  wsCliente.Range("K2").Font.Bold = True : wsCliente.Range("K2").Font.Color = RGB(0, 150, 136)</t>
  </si>
  <si>
    <t xml:space="preserve">  ' ---- LINHA 3: Faixa decorativa ----</t>
  </si>
  <si>
    <t xml:space="preserve">  wsCliente.Range("A3:P3").Interior.Color = RGB(0, 181, 165)</t>
  </si>
  <si>
    <t xml:space="preserve">  wsCliente.Rows(3).RowHeight = 5</t>
  </si>
  <si>
    <t xml:space="preserve">  ' ---- LINHAS 4-5: Cabeçalhos duplos ----</t>
  </si>
  <si>
    <t xml:space="preserve">  wsCliente.Rows(4).RowHeight = 22</t>
  </si>
  <si>
    <t xml:space="preserve">  wsCliente.Rows(5).RowHeight = 22</t>
  </si>
  <si>
    <t xml:space="preserve">  wsCliente.Range("A4:A5").Merge</t>
  </si>
  <si>
    <t xml:space="preserve">  With wsCliente.Range("A4")</t>
  </si>
  <si>
    <t xml:space="preserve">    .Value = "SERVIÇO" : .Font.Bold = True : .Font.Size = 10</t>
  </si>
  <si>
    <t xml:space="preserve">    .Font.Color = RGB(255,255,255) : .Interior.Color = RGB(0, 150, 136)</t>
  </si>
  <si>
    <t xml:space="preserve">    .HorizontalAlignment = xlCenter : .VerticalAlignment = xlCenter</t>
  </si>
  <si>
    <t xml:space="preserve">  wsCliente.Range("B4:B5").Merge</t>
  </si>
  <si>
    <t xml:space="preserve">  With wsCliente.Range("B4")</t>
  </si>
  <si>
    <t xml:space="preserve">    .Value = "DESCRITIVO" : .Font.Bold = True : .Font.Size = 10</t>
  </si>
  <si>
    <t xml:space="preserve">  wsCliente.Range("C4:F4").Merge</t>
  </si>
  <si>
    <t xml:space="preserve">  With wsCliente.Range("C4")</t>
  </si>
  <si>
    <t xml:space="preserve">    .Value = "PLANEJADO" : .Font.Bold = True : .Font.Size = 10</t>
  </si>
  <si>
    <t xml:space="preserve">    .Font.Color = RGB(255,255,255) : .Interior.Color = RGB(0, 107, 95)</t>
  </si>
  <si>
    <t xml:space="preserve">  wsCliente.Range("G4:J4").Merge</t>
  </si>
  <si>
    <t xml:space="preserve">  With wsCliente.Range("G4")</t>
  </si>
  <si>
    <t xml:space="preserve">    .Value = "ORÇADO" : .Font.Bold = True : .Font.Size = 10</t>
  </si>
  <si>
    <t xml:space="preserve">    .Font.Color = RGB(255,255,255) : .Interior.Color = RGB(74, 74, 138)</t>
  </si>
  <si>
    <t xml:space="preserve">  wsCliente.Range("K4:N4").Merge</t>
  </si>
  <si>
    <t xml:space="preserve">  With wsCliente.Range("K4")</t>
  </si>
  <si>
    <t xml:space="preserve">    .Value = "CONTRATADO" : .Font.Bold = True : .Font.Size = 10</t>
  </si>
  <si>
    <t xml:space="preserve">    .Font.Color = RGB(255,255,255) : .Interior.Color = RGB(45, 90, 142)</t>
  </si>
  <si>
    <t xml:space="preserve">  wsCliente.Range("O4:O5").Merge</t>
  </si>
  <si>
    <t xml:space="preserve">  With wsCliente.Range("O4")</t>
  </si>
  <si>
    <t xml:space="preserve">    .Value = "PAGO (R$)" : .Font.Bold = True : .Font.Size = 10</t>
  </si>
  <si>
    <t xml:space="preserve">    .Font.Color = RGB(255,255,255) : .Interior.Color = RGB(46, 125, 50)</t>
  </si>
  <si>
    <t xml:space="preserve">    .HorizontalAlignment = xlCenter : .VerticalAlignment = xlCenter : .WrapText = True</t>
  </si>
  <si>
    <t xml:space="preserve">  wsCliente.Range("P4:P5").Merge</t>
  </si>
  <si>
    <t xml:space="preserve">  With wsCliente.Range("P4")</t>
  </si>
  <si>
    <t xml:space="preserve">    .Value = "SALDO A PAGAR (R$)" : .Font.Bold = True : .Font.Size = 10</t>
  </si>
  <si>
    <t xml:space="preserve">    .Font.Color = RGB(255,255,255) : .Interior.Color = RGB(183, 28, 28)</t>
  </si>
  <si>
    <t xml:space="preserve">  ' Sub-headers linha 5</t>
  </si>
  <si>
    <t xml:space="preserve">  Dim subHdr(3) As String</t>
  </si>
  <si>
    <t xml:space="preserve">  subHdr(0) = "Qtd Itens" : subHdr(1) = "Qtd Dias"</t>
  </si>
  <si>
    <t xml:space="preserve">  subHdr(2) = "Vlr Unit. (R$)" : subHdr(3) = "Vlr Total (R$)"</t>
  </si>
  <si>
    <t xml:space="preserve">  For k = 0 To 3</t>
  </si>
  <si>
    <t xml:space="preserve">    With wsCliente.Cells(5, 3 + k)   ' Planejado</t>
  </si>
  <si>
    <t xml:space="preserve">      .Value = subHdr(k) : .Font.Bold = True : .Font.Size = 8</t>
  </si>
  <si>
    <t xml:space="preserve">      .Font.Color = RGB(255,255,255) : .Interior.Color = RGB(0,150,136)</t>
  </si>
  <si>
    <t xml:space="preserve">      .HorizontalAlignment = xlCenter : .VerticalAlignment = xlCenter : .WrapText = True</t>
  </si>
  <si>
    <t xml:space="preserve">    End With</t>
  </si>
  <si>
    <t xml:space="preserve">    With wsCliente.Cells(5, 7 + k)   ' Orçado</t>
  </si>
  <si>
    <t xml:space="preserve">      .Font.Color = RGB(255,255,255) : .Interior.Color = RGB(92,92,154)</t>
  </si>
  <si>
    <t xml:space="preserve">    With wsCliente.Cells(5, 11 + k)  ' Contratado</t>
  </si>
  <si>
    <t xml:space="preserve">      .Font.Color = RGB(255,255,255) : .Interior.Color = RGB(58,106,158)</t>
  </si>
  <si>
    <t xml:space="preserve">  Next k</t>
  </si>
  <si>
    <t xml:space="preserve">  ' ---- Larguras ----</t>
  </si>
  <si>
    <t xml:space="preserve">  wsCliente.Columns("A").ColumnWidth = 28 : wsCliente.Columns("B").ColumnWidth = 32</t>
  </si>
  <si>
    <t xml:space="preserve">  wsCliente.Columns("C").ColumnWidth = 10 : wsCliente.Columns("D").ColumnWidth = 10</t>
  </si>
  <si>
    <t xml:space="preserve">  wsCliente.Columns("E").ColumnWidth = 14 : wsCliente.Columns("F").ColumnWidth = 14</t>
  </si>
  <si>
    <t xml:space="preserve">  wsCliente.Columns("G").ColumnWidth = 10 : wsCliente.Columns("H").ColumnWidth = 10</t>
  </si>
  <si>
    <t xml:space="preserve">  wsCliente.Columns("I").ColumnWidth = 14 : wsCliente.Columns("J").ColumnWidth = 14</t>
  </si>
  <si>
    <t xml:space="preserve">  wsCliente.Columns("K").ColumnWidth = 10 : wsCliente.Columns("L").ColumnWidth = 10</t>
  </si>
  <si>
    <t xml:space="preserve">  wsCliente.Columns("M").ColumnWidth = 14 : wsCliente.Columns("N").ColumnWidth = 14</t>
  </si>
  <si>
    <t xml:space="preserve">  wsCliente.Columns("O").ColumnWidth = 14 : wsCliente.Columns("P").ColumnWidth = 16</t>
  </si>
  <si>
    <t xml:space="preserve">  ' ================================================================</t>
  </si>
  <si>
    <t xml:space="preserve">  ' LOOP PRINCIPAL - detecção por Font.Size da coluna A:</t>
  </si>
  <si>
    <t xml:space="preserve">  '   Size = 11  → SEÇÃO (cabeçalho de grupo colorido)</t>
  </si>
  <si>
    <t xml:space="preserve">  '   "TOTAL" no texto → LINHA DE TOTAL do grupo</t>
  </si>
  <si>
    <t xml:space="preserve">  '   Resto          → LINHA DE SERVIÇO (dados)</t>
  </si>
  <si>
    <t xml:space="preserve">  cRow   = 6</t>
  </si>
  <si>
    <t xml:space="preserve">  secIdx = 0</t>
  </si>
  <si>
    <t xml:space="preserve">  For r = 9 To 92</t>
  </si>
  <si>
    <t xml:space="preserve">    cellA = Trim(CStr(wsOrigem.Cells(r, 1).Value))</t>
  </si>
  <si>
    <t xml:space="preserve">    If cellA = "" Then GoTo ProxLinha</t>
  </si>
  <si>
    <t xml:space="preserve">    If InStr(cellA, "TOTAL GERAL") &gt; 0 Then GoTo ProxLinha</t>
  </si>
  <si>
    <t xml:space="preserve">    If InStr(cellA, "LEGENDA")     &gt; 0 Then GoTo ProxLinha</t>
  </si>
  <si>
    <t xml:space="preserve">    If InStr(cellA, "STATUS")      &gt; 0 Then GoTo ProxLinha</t>
  </si>
  <si>
    <t xml:space="preserve">    fSize = wsOrigem.Cells(r, 1).Font.Size</t>
  </si>
  <si>
    <t xml:space="preserve">    isSection = (fSize &gt;= 11)</t>
  </si>
  <si>
    <t xml:space="preserve">    isTotal   = (Not isSection) And (InStr(UCase(cellA), "TOTAL") &gt; 0)</t>
  </si>
  <si>
    <t xml:space="preserve">    isData    = (Not isSection) And (Not isTotal)</t>
  </si>
  <si>
    <t xml:space="preserve">    If isSection Then</t>
  </si>
  <si>
    <t xml:space="preserve">      ' --- Cabeçalho de seção ---</t>
  </si>
  <si>
    <t xml:space="preserve">      wsCliente.Rows(cRow).RowHeight = 22</t>
  </si>
  <si>
    <t xml:space="preserve">      wsCliente.Range("A" &amp; cRow &amp; ":P" &amp; cRow).Merge</t>
  </si>
  <si>
    <t xml:space="preserve">      With wsCliente.Range("A" &amp; cRow)</t>
  </si>
  <si>
    <t xml:space="preserve">        .Value               = "  " &amp; cellA</t>
  </si>
  <si>
    <t xml:space="preserve">        .Font.Bold           = True : .Font.Size = 11</t>
  </si>
  <si>
    <t xml:space="preserve">        .Font.Color          = RGB(255, 255, 255)</t>
  </si>
  <si>
    <t xml:space="preserve">        .Interior.Color      = secCores(secIdx Mod 12)</t>
  </si>
  <si>
    <t xml:space="preserve">        .HorizontalAlignment = xlLeft : .VerticalAlignment = xlCenter</t>
  </si>
  <si>
    <t xml:space="preserve">      End With</t>
  </si>
  <si>
    <t xml:space="preserve">      secIdx = secIdx + 1</t>
  </si>
  <si>
    <t xml:space="preserve">    ElseIf isTotal Then</t>
  </si>
  <si>
    <t xml:space="preserve">      ' --- Linha de total do grupo ---</t>
  </si>
  <si>
    <t xml:space="preserve">      Dim sc As Long : sc = secCores((secIdx - 1) Mod 12)</t>
  </si>
  <si>
    <t xml:space="preserve">      wsCliente.Range("A" &amp; cRow &amp; ":B" &amp; cRow).Merge</t>
  </si>
  <si>
    <t xml:space="preserve">        .Value = cellA : .Font.Bold = True : .Font.Size = 10</t>
  </si>
  <si>
    <t xml:space="preserve">        .Font.Color = RGB(255,255,255) : .Interior.Color = sc</t>
  </si>
  <si>
    <t xml:space="preserve">        .HorizontalAlignment = xlRight : .VerticalAlignment = xlCenter</t>
  </si>
  <si>
    <t xml:space="preserve">      wsCliente.Range("C" &amp; cRow &amp; ":E" &amp; cRow).Interior.Color = RGB(178,223,219)</t>
  </si>
  <si>
    <t xml:space="preserve">      With wsCliente.Range("F" &amp; cRow)</t>
  </si>
  <si>
    <t xml:space="preserve">        .Value = wsOrigem.Cells(r, 6).Value : .NumberFormat = "#,##0.00"</t>
  </si>
  <si>
    <t xml:space="preserve">        .Font.Bold = True : .Font.Color = RGB(0,77,64)</t>
  </si>
  <si>
    <t xml:space="preserve">        .Interior.Color = RGB(178,223,219) : .HorizontalAlignment = xlRight</t>
  </si>
  <si>
    <t xml:space="preserve">      wsCliente.Range("G" &amp; cRow &amp; ":I" &amp; cRow).Interior.Color = RGB(197,202,233)</t>
  </si>
  <si>
    <t xml:space="preserve">      With wsCliente.Range("J" &amp; cRow)</t>
  </si>
  <si>
    <t xml:space="preserve">        .Value = wsOrigem.Cells(r, 10).Value : .NumberFormat = "#,##0.00"</t>
  </si>
  <si>
    <t xml:space="preserve">        .Font.Bold = True : .Font.Color = RGB(26,35,126)</t>
  </si>
  <si>
    <t xml:space="preserve">        .Interior.Color = RGB(197,202,233) : .HorizontalAlignment = xlRight</t>
  </si>
  <si>
    <t xml:space="preserve">      wsCliente.Range("K" &amp; cRow &amp; ":M" &amp; cRow).Interior.Color = RGB(187,222,251)</t>
  </si>
  <si>
    <t xml:space="preserve">      With wsCliente.Range("N" &amp; cRow)</t>
  </si>
  <si>
    <t xml:space="preserve">        .Value = wsOrigem.Cells(r, 14).Value : .NumberFormat = "#,##0.00"</t>
  </si>
  <si>
    <t xml:space="preserve">        .Font.Bold = True : .Font.Color = RGB(13,71,161)</t>
  </si>
  <si>
    <t xml:space="preserve">        .Interior.Color = RGB(187,222,251) : .HorizontalAlignment = xlRight</t>
  </si>
  <si>
    <t xml:space="preserve">      With wsCliente.Range("O" &amp; cRow)</t>
  </si>
  <si>
    <t xml:space="preserve">        .Value = wsOrigem.Cells(r, 22).Value : .NumberFormat = "#,##0.00"</t>
  </si>
  <si>
    <t xml:space="preserve">        .Font.Bold = True : .Font.Color = RGB(27,94,32)</t>
  </si>
  <si>
    <t xml:space="preserve">        .Interior.Color = RGB(200,230,201) : .HorizontalAlignment = xlRight</t>
  </si>
  <si>
    <t xml:space="preserve">      With wsCliente.Range("P" &amp; cRow)</t>
  </si>
  <si>
    <t xml:space="preserve">        .Value = wsOrigem.Cells(r, 26).Value : .NumberFormat = "#,##0.00"</t>
  </si>
  <si>
    <t xml:space="preserve">        .Font.Bold = True : .Font.Color = RGB(183,28,28)</t>
  </si>
  <si>
    <t xml:space="preserve">        .Interior.Color = RGB(255,205,210) : .HorizontalAlignment = xlRight</t>
  </si>
  <si>
    <t xml:space="preserve">      wsCliente.Range("A" &amp; cRow &amp; ":P" &amp; cRow).Borders.LineStyle = xlContinuous</t>
  </si>
  <si>
    <t xml:space="preserve">      wsCliente.Range("A" &amp; cRow &amp; ":P" &amp; cRow).Borders.Color = RGB(200,200,200)</t>
  </si>
  <si>
    <t xml:space="preserve">    ElseIf isData Then</t>
  </si>
  <si>
    <t xml:space="preserve">      ' --- Linha de serviço (item) ---</t>
  </si>
  <si>
    <t xml:space="preserve">      wsCliente.Rows(cRow).RowHeight = 20</t>
  </si>
  <si>
    <t xml:space="preserve">      With wsCliente.Cells(cRow, 1)</t>
  </si>
  <si>
    <t xml:space="preserve">        .Value = cellA : .Font.Size = 9</t>
  </si>
  <si>
    <t xml:space="preserve">        .Interior.Color = RGB(250,250,250)</t>
  </si>
  <si>
    <t xml:space="preserve">        .VerticalAlignment = xlCenter : .WrapText = True</t>
  </si>
  <si>
    <t xml:space="preserve">      With wsCliente.Cells(cRow, 2)  ' Descritivo</t>
  </si>
  <si>
    <t xml:space="preserve">        .Value = wsOrigem.Cells(r, 2).Value : .Font.Size = 9</t>
  </si>
  <si>
    <t xml:space="preserve">        .Interior.Color = RGB(255,255,255)</t>
  </si>
  <si>
    <t xml:space="preserve">      ' PLANEJADO: Qtd Itens(C=3), Qtd Dias(D=4), Vlr Unit(E=5), Vlr Total(F=6)</t>
  </si>
  <si>
    <t xml:space="preserve">      With wsCliente.Cells(cRow, 3)</t>
  </si>
  <si>
    <t xml:space="preserve">        .Value = wsOrigem.Cells(r, 3).Value : .Font.Size = 9</t>
  </si>
  <si>
    <t xml:space="preserve">        .Interior.Color = RGB(224,242,241) : .HorizontalAlignment = xlCenter : .VerticalAlignment = xlCenter</t>
  </si>
  <si>
    <t xml:space="preserve">      With wsCliente.Cells(cRow, 4)</t>
  </si>
  <si>
    <t xml:space="preserve">        .Value = wsOrigem.Cells(r, 4).Value : .Font.Size = 9</t>
  </si>
  <si>
    <t xml:space="preserve">      With wsCliente.Cells(cRow, 5)</t>
  </si>
  <si>
    <t xml:space="preserve">        .Value = wsOrigem.Cells(r, 5).Value : .NumberFormat = "#,##0.00" : .Font.Size = 9</t>
  </si>
  <si>
    <t xml:space="preserve">        .Interior.Color = RGB(224,242,241) : .HorizontalAlignment = xlRight : .VerticalAlignment = xlCenter</t>
  </si>
  <si>
    <t xml:space="preserve">      With wsCliente.Cells(cRow, 6)</t>
  </si>
  <si>
    <t xml:space="preserve">        .Value = wsOrigem.Cells(r, 6).Value : .NumberFormat = "#,##0.00" : .Font.Size = 9</t>
  </si>
  <si>
    <t xml:space="preserve">        .Interior.Color = RGB(178,223,219) : .HorizontalAlignment = xlRight : .VerticalAlignment = xlCenter</t>
  </si>
  <si>
    <t xml:space="preserve">      ' ORÇADO: Qtd Itens(G=7), Qtd Dias(H=8), Vlr Unit(I=9), Vlr Total(J=10)</t>
  </si>
  <si>
    <t xml:space="preserve">      With wsCliente.Cells(cRow, 7)</t>
  </si>
  <si>
    <t xml:space="preserve">        .Value = wsOrigem.Cells(r, 7).Value : .Font.Size = 9</t>
  </si>
  <si>
    <t xml:space="preserve">        .Interior.Color = RGB(232,234,246) : .HorizontalAlignment = xlCenter : .VerticalAlignment = xlCenter</t>
  </si>
  <si>
    <t xml:space="preserve">      With wsCliente.Cells(cRow, 8)</t>
  </si>
  <si>
    <t xml:space="preserve">        .Value = wsOrigem.Cells(r, 8).Value : .Font.Size = 9</t>
  </si>
  <si>
    <t xml:space="preserve">      With wsCliente.Cells(cRow, 9)</t>
  </si>
  <si>
    <t xml:space="preserve">        .Value = wsOrigem.Cells(r, 9).Value : .NumberFormat = "#,##0.00" : .Font.Size = 9</t>
  </si>
  <si>
    <t xml:space="preserve">        .Interior.Color = RGB(232,234,246) : .HorizontalAlignment = xlRight : .VerticalAlignment = xlCenter</t>
  </si>
  <si>
    <t xml:space="preserve">      With wsCliente.Cells(cRow, 10)</t>
  </si>
  <si>
    <t xml:space="preserve">        .Value = wsOrigem.Cells(r, 10).Value : .NumberFormat = "#,##0.00" : .Font.Size = 9</t>
  </si>
  <si>
    <t xml:space="preserve">        .Interior.Color = RGB(197,202,233) : .HorizontalAlignment = xlRight : .VerticalAlignment = xlCenter</t>
  </si>
  <si>
    <t xml:space="preserve">      ' CONTRATADO: Qtd Itens(K=11), Qtd Dias(L=12), Vlr Unit(M=13), Vlr Total(N=14)</t>
  </si>
  <si>
    <t xml:space="preserve">      With wsCliente.Cells(cRow, 11)</t>
  </si>
  <si>
    <t xml:space="preserve">        .Value = wsOrigem.Cells(r, 11).Value : .Font.Size = 9</t>
  </si>
  <si>
    <t xml:space="preserve">        .Interior.Color = RGB(227,242,253) : .HorizontalAlignment = xlCenter : .VerticalAlignment = xlCenter</t>
  </si>
  <si>
    <t xml:space="preserve">      With wsCliente.Cells(cRow, 12)</t>
  </si>
  <si>
    <t xml:space="preserve">        .Value = wsOrigem.Cells(r, 12).Value : .Font.Size = 9</t>
  </si>
  <si>
    <t xml:space="preserve">      With wsCliente.Cells(cRow, 13)</t>
  </si>
  <si>
    <t xml:space="preserve">        .Value = wsOrigem.Cells(r, 13).Value : .NumberFormat = "#,##0.00" : .Font.Size = 9</t>
  </si>
  <si>
    <t xml:space="preserve">        .Interior.Color = RGB(227,242,253) : .HorizontalAlignment = xlRight : .VerticalAlignment = xlCenter</t>
  </si>
  <si>
    <t xml:space="preserve">      With wsCliente.Cells(cRow, 14)</t>
  </si>
  <si>
    <t xml:space="preserve">        .Value = wsOrigem.Cells(r, 14).Value : .NumberFormat = "#,##0.00" : .Font.Size = 9</t>
  </si>
  <si>
    <t xml:space="preserve">        .Interior.Color = RGB(187,222,251) : .HorizontalAlignment = xlRight : .VerticalAlignment = xlCenter</t>
  </si>
  <si>
    <t xml:space="preserve">      ' PAGO (col V=22 origem)</t>
  </si>
  <si>
    <t xml:space="preserve">      With wsCliente.Cells(cRow, 15)</t>
  </si>
  <si>
    <t xml:space="preserve">        .Value = wsOrigem.Cells(r, 22).Value : .NumberFormat = "#,##0.00" : .Font.Size = 9</t>
  </si>
  <si>
    <t xml:space="preserve">        .Interior.Color = RGB(241,248,233) : .HorizontalAlignment = xlRight : .VerticalAlignment = xlCenter</t>
  </si>
  <si>
    <t xml:space="preserve">      ' SALDO (col Z=26 origem)</t>
  </si>
  <si>
    <t xml:space="preserve">      With wsCliente.Cells(cRow, 16)</t>
  </si>
  <si>
    <t xml:space="preserve">        .Value = wsOrigem.Cells(r, 26).Value : .NumberFormat = "#,##0.00" : .Font.Size = 9</t>
  </si>
  <si>
    <t xml:space="preserve">        .Interior.Color = RGB(255,253,231) : .HorizontalAlignment = xlRight : .VerticalAlignment = xlCenter</t>
  </si>
  <si>
    <t xml:space="preserve">      wsCliente.Range("A" &amp; cRow &amp; ":P" &amp; cRow).Borders.Color = RGB(220,220,220)</t>
  </si>
  <si>
    <t xml:space="preserve">    cRow = cRow + 1</t>
  </si>
  <si>
    <t>ProxLinha:</t>
  </si>
  <si>
    <t xml:space="preserve">  Next r</t>
  </si>
  <si>
    <t xml:space="preserve">  ' ---- Total Geral ----</t>
  </si>
  <si>
    <t xml:space="preserve">  wsCliente.Rows(cRow).RowHeight = 28</t>
  </si>
  <si>
    <t xml:space="preserve">  wsCliente.Range("A" &amp; cRow &amp; ":E" &amp; cRow).Merge</t>
  </si>
  <si>
    <t xml:space="preserve">  With wsCliente.Range("A" &amp; cRow)</t>
  </si>
  <si>
    <t xml:space="preserve">    .Value = "TOTAL GERAL" : .Font.Bold = True : .Font.Size = 12</t>
  </si>
  <si>
    <t xml:space="preserve">    .Font.Color = RGB(255,255,255) : .Interior.Color = RGB(0,181,165)</t>
  </si>
  <si>
    <t xml:space="preserve">  With wsCliente.Range("F" &amp; cRow)</t>
  </si>
  <si>
    <t xml:space="preserve">    .Value = wsOrigem.Cells(92, 6).Value : .NumberFormat = "#,##0.00"</t>
  </si>
  <si>
    <t xml:space="preserve">    .Font.Bold = True : .Font.Size = 12</t>
  </si>
  <si>
    <t xml:space="preserve">    .HorizontalAlignment = xlRight : .VerticalAlignment = xlCenter</t>
  </si>
  <si>
    <t xml:space="preserve">  wsCliente.Range("G" &amp; cRow &amp; ":I" &amp; cRow).Interior.Color = RGB(0,181,165)</t>
  </si>
  <si>
    <t xml:space="preserve">  With wsCliente.Range("J" &amp; cRow)</t>
  </si>
  <si>
    <t xml:space="preserve">    .Value = wsOrigem.Cells(92, 10).Value : .NumberFormat = "#,##0.00"</t>
  </si>
  <si>
    <t xml:space="preserve">  wsCliente.Range("K" &amp; cRow &amp; ":M" &amp; cRow).Interior.Color = RGB(0,181,165)</t>
  </si>
  <si>
    <t xml:space="preserve">  With wsCliente.Range("N" &amp; cRow)</t>
  </si>
  <si>
    <t xml:space="preserve">    .Value = wsOrigem.Cells(92, 14).Value : .NumberFormat = "#,##0.00"</t>
  </si>
  <si>
    <t xml:space="preserve">  With wsCliente.Range("O" &amp; cRow)</t>
  </si>
  <si>
    <t xml:space="preserve">    .Value = wsOrigem.Cells(92, 22).Value : .NumberFormat = "#,##0.00"</t>
  </si>
  <si>
    <t xml:space="preserve">  With wsCliente.Range("P" &amp; cRow)</t>
  </si>
  <si>
    <t xml:space="preserve">    .Value = wsOrigem.Cells(92, 26).Value : .NumberFormat = "#,##0.00"</t>
  </si>
  <si>
    <t xml:space="preserve">  wsCliente.Range("A" &amp; cRow &amp; ":P" &amp; cRow).Borders.LineStyle = xlContinuous</t>
  </si>
  <si>
    <t xml:space="preserve">  wsCliente.Range("A" &amp; cRow &amp; ":P" &amp; cRow).Borders.Weight = xlMedium</t>
  </si>
  <si>
    <t xml:space="preserve">  wsCliente.Range("A" &amp; cRow &amp; ":P" &amp; cRow).Borders.Color = RGB(0,100,90)</t>
  </si>
  <si>
    <t xml:space="preserve">  ' ---- Bordas cabeçalhos ----</t>
  </si>
  <si>
    <t xml:space="preserve">  wsCliente.Range("A4:P5").Borders.LineStyle = xlContinuous</t>
  </si>
  <si>
    <t xml:space="preserve">  wsCliente.Range("A4:P5").Borders.Color = RGB(200,200,200)</t>
  </si>
  <si>
    <t xml:space="preserve">  ' ---- Rodapé ----</t>
  </si>
  <si>
    <t xml:space="preserve">  cRow = cRow + 2</t>
  </si>
  <si>
    <t xml:space="preserve">  wsCliente.Range("A" &amp; cRow &amp; ":P" &amp; cRow).Merge</t>
  </si>
  <si>
    <t xml:space="preserve">    .Value = "Documento gerado em " &amp; Format(Now(), "DD/MM/YYYY HH:MM") &amp; "  |  Pmais Eventos"</t>
  </si>
  <si>
    <t xml:space="preserve">    .Font.Italic = True : .Font.Size = 8 : .Font.Color = RGB(150,150,150)</t>
  </si>
  <si>
    <t xml:space="preserve">  ' ---- Congelar painel ----</t>
  </si>
  <si>
    <t xml:space="preserve">  wsCliente.Activate</t>
  </si>
  <si>
    <t xml:space="preserve">  ActiveWindow.FreezePanes = False</t>
  </si>
  <si>
    <t xml:space="preserve">  wsCliente.Range("A6").Select</t>
  </si>
  <si>
    <t xml:space="preserve">  ActiveWindow.FreezePanes = True</t>
  </si>
  <si>
    <t xml:space="preserve">  ' ---- Salvar ----</t>
  </si>
  <si>
    <t xml:space="preserve">  caminho     = ThisWorkbook.Path &amp; "\"</t>
  </si>
  <si>
    <t xml:space="preserve">  nomeArquivo = caminho &amp; "Relatorio_Cliente_" &amp; Replace(nomeEvento, " ", "_") &amp; "_" &amp; Format(Now(), "YYYYMMDD") &amp; ".xlsx"</t>
  </si>
  <si>
    <t xml:space="preserve">  Application.DisplayAlerts = False</t>
  </si>
  <si>
    <t xml:space="preserve">  wbNovo.SaveAs Filename:=nomeArquivo, FileFormat:=xlOpenXMLWorkbook</t>
  </si>
  <si>
    <t xml:space="preserve">  Application.DisplayAlerts = True</t>
  </si>
  <si>
    <t xml:space="preserve">  MsgBox "Relatorio gerado com sucesso!" &amp; vbCrLf &amp; vbCrLf &amp; _</t>
  </si>
  <si>
    <t xml:space="preserve">         "Arquivo salvo em:" &amp; vbCrLf &amp; nomeArquivo, _</t>
  </si>
  <si>
    <t xml:space="preserve">         vbInformation, "Relatorio Cliente - " &amp; nomeEvento</t>
  </si>
  <si>
    <t>' ---- Helper: enviar e-mail via Outlook ----</t>
  </si>
  <si>
    <t>Sub EnviarEmail(dest As String, assunto As String, corpo As String)</t>
  </si>
  <si>
    <t xml:space="preserve">  On Error GoTo ErrHandler</t>
  </si>
  <si>
    <t xml:space="preserve">  Dim oApp  As Object</t>
  </si>
  <si>
    <t xml:space="preserve">  Dim oMail As Object</t>
  </si>
  <si>
    <t xml:space="preserve">  Set oApp  = CreateObject("Outlook.Application")</t>
  </si>
  <si>
    <t xml:space="preserve">  Set oMail = oApp.CreateItem(0)</t>
  </si>
  <si>
    <t xml:space="preserve">  oMail.To      = dest</t>
  </si>
  <si>
    <t xml:space="preserve">  oMail.Subject = assunto</t>
  </si>
  <si>
    <t xml:space="preserve">  oMail.Body    = corpo</t>
  </si>
  <si>
    <t xml:space="preserve">  oMail.Send</t>
  </si>
  <si>
    <t xml:space="preserve">  Exit Sub</t>
  </si>
  <si>
    <t>ErrHandler:</t>
  </si>
  <si>
    <t xml:space="preserve">  MsgBox "Erro ao enviar e-mail. Verifique se o Outlook esta aberto.", vbExclamation</t>
  </si>
  <si>
    <t>RESUMO FINANCEIRO DO EVENTO</t>
  </si>
  <si>
    <t>Categoria</t>
  </si>
  <si>
    <t>Planejado (R$)</t>
  </si>
  <si>
    <t>Orçado (R$)</t>
  </si>
  <si>
    <t>Contratado (R$)</t>
  </si>
  <si>
    <t>Pago (R$)</t>
  </si>
  <si>
    <t>Saldo a Pagar (R$)</t>
  </si>
  <si>
    <t>PRÉ EVENTO</t>
  </si>
  <si>
    <t>HOSPEDAGEM E ALIMENTAÇÃO</t>
  </si>
  <si>
    <t>PASSAGENS AÉREAS</t>
  </si>
  <si>
    <t>A&amp;B (ALIMENTOS E BEBIDAS)</t>
  </si>
  <si>
    <t>LOCAÇÃO DE ESPAÇOS</t>
  </si>
  <si>
    <t>RECURSOS HUMANOS</t>
  </si>
  <si>
    <t>T.I.</t>
  </si>
  <si>
    <t>EQUIPAMENTOS AUDIOVISUAIS</t>
  </si>
  <si>
    <t>MATERIAL DO PARTICIPANTE</t>
  </si>
  <si>
    <t>INFRAESTRUTURA</t>
  </si>
  <si>
    <t>DIVERSOS</t>
  </si>
  <si>
    <t>TAXA DE ADMINISTRAÇÃO</t>
  </si>
  <si>
    <t>TOTAL GERAL</t>
  </si>
  <si>
    <t xml:space="preserve">  RESUMO FINANCEIRO - SALDO</t>
  </si>
  <si>
    <t>Receita Total Planejada</t>
  </si>
  <si>
    <t>Despesa Total Planejada</t>
  </si>
  <si>
    <t>Saldo Planejado</t>
  </si>
  <si>
    <t>Receita Total Realizada</t>
  </si>
  <si>
    <t>Despesa Total Contratada</t>
  </si>
  <si>
    <t>Saldo Realizado</t>
  </si>
  <si>
    <t>Radar 2026</t>
  </si>
  <si>
    <t>paulo.cavalcanti@pmaiseventos.com</t>
  </si>
  <si>
    <t>joao.henrique@pmaiseventos.com</t>
  </si>
  <si>
    <t>João Henrique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</si>
</sst>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9" x14ac:knownFonts="1">
    <font>
      <sz val="11"/>
      <color theme="1"/>
      <name val="Calibri"/>
      <family val="2"/>
      <charset val="1"/>
    </font>
    <font>
      <b/>
      <sz val="10"/>
      <color rgb="FF00B5A5"/>
      <name val="Arial"/>
      <family val="2"/>
    </font>
    <font>
      <sz val="10"/>
      <color rgb="FF2D2D2D"/>
      <name val="Arial"/>
      <family val="2"/>
    </font>
    <font>
      <b/>
      <sz val="10"/>
      <color rgb="FFFFFFFF"/>
      <name val="Arial"/>
      <family val="2"/>
    </font>
    <font>
      <b/>
      <sz val="8"/>
      <color rgb="FFFFFFFF"/>
      <name val="Arial"/>
      <family val="2"/>
    </font>
    <font>
      <b/>
      <sz val="11"/>
      <color rgb="FFFFFFFF"/>
      <name val="Arial"/>
      <family val="2"/>
    </font>
    <font>
      <sz val="9"/>
      <color rgb="FF2D2D2D"/>
      <name val="Arial"/>
      <family val="2"/>
    </font>
    <font>
      <sz val="9"/>
      <color rgb="FF555555"/>
      <name val="Arial"/>
      <family val="2"/>
    </font>
    <font>
      <b/>
      <sz val="9"/>
      <color rgb="FF004D40"/>
      <name val="Arial"/>
      <family val="2"/>
    </font>
    <font>
      <b/>
      <sz val="9"/>
      <color rgb="FF1A237E"/>
      <name val="Arial"/>
      <family val="2"/>
    </font>
    <font>
      <b/>
      <sz val="9"/>
      <color rgb="FF0D47A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1B5E20"/>
      <name val="Arial"/>
      <family val="2"/>
    </font>
    <font>
      <b/>
      <sz val="9"/>
      <color rgb="FFFFFFFF"/>
      <name val="Arial"/>
      <family val="2"/>
    </font>
    <font>
      <b/>
      <sz val="10"/>
      <color rgb="FF004D40"/>
      <name val="Arial"/>
      <family val="2"/>
    </font>
    <font>
      <b/>
      <sz val="10"/>
      <color rgb="FF1A237E"/>
      <name val="Arial"/>
      <family val="2"/>
    </font>
    <font>
      <b/>
      <sz val="10"/>
      <color rgb="FF0D47A1"/>
      <name val="Arial"/>
      <family val="2"/>
    </font>
    <font>
      <b/>
      <sz val="10"/>
      <color rgb="FF4E342E"/>
      <name val="Arial"/>
      <family val="2"/>
    </font>
    <font>
      <b/>
      <sz val="10"/>
      <color rgb="FF4A235A"/>
      <name val="Arial"/>
      <family val="2"/>
    </font>
    <font>
      <b/>
      <sz val="10"/>
      <color rgb="FF1B5E20"/>
      <name val="Arial"/>
      <family val="2"/>
    </font>
    <font>
      <b/>
      <sz val="12"/>
      <color rgb="FFFFFFFF"/>
      <name val="Arial"/>
      <family val="2"/>
    </font>
    <font>
      <b/>
      <sz val="11"/>
      <color rgb="FF004D40"/>
      <name val="Arial"/>
      <family val="2"/>
    </font>
    <font>
      <b/>
      <sz val="11"/>
      <color rgb="FF1A237E"/>
      <name val="Arial"/>
      <family val="2"/>
    </font>
    <font>
      <b/>
      <sz val="11"/>
      <color rgb="FF0D47A1"/>
      <name val="Arial"/>
      <family val="2"/>
    </font>
    <font>
      <b/>
      <sz val="11"/>
      <color rgb="FF4E342E"/>
      <name val="Arial"/>
      <family val="2"/>
    </font>
    <font>
      <b/>
      <sz val="11"/>
      <color rgb="FF4A235A"/>
      <name val="Arial"/>
      <family val="2"/>
    </font>
    <font>
      <b/>
      <sz val="11"/>
      <color rgb="FF1B5E20"/>
      <name val="Arial"/>
      <family val="2"/>
    </font>
    <font>
      <b/>
      <sz val="9"/>
      <color rgb="FF2D2D2D"/>
      <name val="Arial"/>
      <family val="2"/>
    </font>
    <font>
      <b/>
      <sz val="14"/>
      <color rgb="FFFFFFFF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u/>
      <sz val="11"/>
      <color theme="10"/>
      <name val="Calibri"/>
      <family val="2"/>
      <charset val="1"/>
    </font>
    <font>
      <i/>
      <sz val="8"/>
      <color rgb="FF2E7D32"/>
      <name val="Courier New"/>
      <family val="3"/>
    </font>
    <font>
      <sz val="8"/>
      <color rgb="FF1A1A2E"/>
      <name val="Courier New"/>
      <family val="3"/>
    </font>
    <font>
      <b/>
      <sz val="8"/>
      <color rgb="FF1A237E"/>
      <name val="Courier New"/>
      <family val="3"/>
    </font>
    <font>
      <b/>
      <sz val="20"/>
      <color rgb="FFFFFFFF"/>
      <name val="Arial"/>
      <family val="2"/>
    </font>
    <font>
      <i/>
      <sz val="9"/>
      <color rgb="FF5D4037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i/>
      <sz val="8"/>
      <color rgb="FF2E7D32"/>
      <name val="Courier New"/>
      <family val="3"/>
    </font>
    <font>
      <sz val="8"/>
      <color rgb="FF1A1A2E"/>
      <name val="Courier New"/>
      <family val="3"/>
    </font>
    <font>
      <b/>
      <sz val="8"/>
      <color rgb="FF1A237E"/>
      <name val="Courier New"/>
      <family val="3"/>
    </font>
    <font>
      <i/>
      <sz val="8"/>
      <color rgb="FF6B21C8"/>
      <name val="Arial"/>
      <family val="2"/>
    </font>
    <font>
      <sz val="11"/>
      <color theme="1"/>
      <name val="Calibri"/>
      <family val="2"/>
      <charset val="1"/>
    </font>
    <font>
      <b/>
      <sz val="9"/>
      <color theme="0"/>
      <name val="Calibri"/>
      <family val="2"/>
      <scheme val="minor"/>
    </font>
    <font>
      <b/>
      <sz val="12"/>
      <color rgb="FFFFFFFF"/>
      <name val="Calibri"/>
      <family val="2"/>
    </font>
    <font>
      <b/>
      <sz val="10"/>
      <color rgb="FFFFFFFF"/>
      <name val="Calibri"/>
      <family val="2"/>
    </font>
    <font>
      <b/>
      <sz val="8"/>
      <color rgb="FFFFFFFF"/>
      <name val="Calibri"/>
      <family val="2"/>
    </font>
    <font>
      <b/>
      <sz val="9"/>
      <color rgb="FFFFFFFF"/>
      <name val="Calibri"/>
      <family val="2"/>
    </font>
    <font>
      <sz val="9"/>
      <color rgb="FF2D2D2D"/>
      <name val="Calibri"/>
      <family val="2"/>
    </font>
    <font>
      <sz val="9"/>
      <name val="Calibri"/>
      <family val="2"/>
    </font>
    <font>
      <b/>
      <sz val="9"/>
      <color rgb="FF1B5E20"/>
      <name val="Calibri"/>
      <family val="2"/>
    </font>
    <font>
      <b/>
      <sz val="10"/>
      <color rgb="FF1B5E20"/>
      <name val="Calibri"/>
      <family val="2"/>
    </font>
    <font>
      <b/>
      <sz val="11"/>
      <color rgb="FFFFFFFF"/>
      <name val="Calibri"/>
      <family val="2"/>
    </font>
    <font>
      <b/>
      <sz val="13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rgb="FF1B5E20"/>
      <name val="Calibri"/>
      <family val="2"/>
      <scheme val="minor"/>
    </font>
    <font>
      <b/>
      <sz val="11"/>
      <color rgb="FFB71C1C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rgb="FF2C2D2C"/>
        <bgColor rgb="FF4E342E"/>
      </patternFill>
    </fill>
    <fill>
      <patternFill patternType="solid">
        <fgColor rgb="FF00B5A5"/>
        <bgColor rgb="FF00C853"/>
      </patternFill>
    </fill>
    <fill>
      <patternFill patternType="solid">
        <fgColor rgb="FFF0FAFA"/>
        <bgColor rgb="FFF5F5F5"/>
      </patternFill>
    </fill>
    <fill>
      <patternFill patternType="solid">
        <fgColor rgb="FFFFFFFF"/>
        <bgColor rgb="FFFAFAFA"/>
      </patternFill>
    </fill>
    <fill>
      <patternFill patternType="mediumGray">
        <fgColor rgb="FF007B7F"/>
        <bgColor rgb="FF004D40"/>
      </patternFill>
    </fill>
    <fill>
      <patternFill patternType="darkGray">
        <fgColor rgb="FF3C49A0"/>
        <bgColor rgb="FF5C5C9A"/>
      </patternFill>
    </fill>
    <fill>
      <patternFill patternType="darkGray">
        <fgColor rgb="FF316296"/>
        <bgColor rgb="FF3C49A0"/>
      </patternFill>
    </fill>
    <fill>
      <patternFill patternType="solid">
        <fgColor rgb="FF6B21C8"/>
        <bgColor rgb="FF6A1B9A"/>
      </patternFill>
    </fill>
    <fill>
      <patternFill patternType="solid">
        <fgColor rgb="FF8B4513"/>
        <bgColor rgb="FF9B5523"/>
      </patternFill>
    </fill>
    <fill>
      <patternFill patternType="solid">
        <fgColor rgb="FF4A235A"/>
        <bgColor rgb="FF5A2B6A"/>
      </patternFill>
    </fill>
    <fill>
      <patternFill patternType="darkGray">
        <fgColor rgb="FF2C2D2C"/>
        <bgColor rgb="FF004D40"/>
      </patternFill>
    </fill>
    <fill>
      <patternFill patternType="solid">
        <fgColor rgb="FF008D7F"/>
        <bgColor rgb="FF007B7F"/>
      </patternFill>
    </fill>
    <fill>
      <patternFill patternType="solid">
        <fgColor rgb="FF5C5C9A"/>
        <bgColor rgb="FF3C49A0"/>
      </patternFill>
    </fill>
    <fill>
      <patternFill patternType="darkGray">
        <fgColor rgb="FF316296"/>
        <bgColor rgb="FF5C5C9A"/>
      </patternFill>
    </fill>
    <fill>
      <patternFill patternType="solid">
        <fgColor rgb="FF7B31D8"/>
        <bgColor rgb="FF6B21C8"/>
      </patternFill>
    </fill>
    <fill>
      <patternFill patternType="solid">
        <fgColor rgb="FF9B5523"/>
        <bgColor rgb="FF8B4513"/>
      </patternFill>
    </fill>
    <fill>
      <patternFill patternType="solid">
        <fgColor rgb="FF5A2B6A"/>
        <bgColor rgb="FF4A235A"/>
      </patternFill>
    </fill>
    <fill>
      <patternFill patternType="darkGray">
        <fgColor rgb="FF008D7F"/>
        <bgColor rgb="FF007B7F"/>
      </patternFill>
    </fill>
    <fill>
      <patternFill patternType="solid">
        <fgColor rgb="FFFAFAFA"/>
        <bgColor rgb="FFFFFFFF"/>
      </patternFill>
    </fill>
    <fill>
      <patternFill patternType="solid">
        <fgColor rgb="FFE0F2F1"/>
        <bgColor rgb="FFE3F2FD"/>
      </patternFill>
    </fill>
    <fill>
      <patternFill patternType="solid">
        <fgColor rgb="FFB2DFDB"/>
        <bgColor rgb="FFB2EBE0"/>
      </patternFill>
    </fill>
    <fill>
      <patternFill patternType="solid">
        <fgColor rgb="FFE8EAF6"/>
        <bgColor rgb="FFEDE7F6"/>
      </patternFill>
    </fill>
    <fill>
      <patternFill patternType="solid">
        <fgColor rgb="FFC5CAE9"/>
        <bgColor rgb="FFCCCCCC"/>
      </patternFill>
    </fill>
    <fill>
      <patternFill patternType="solid">
        <fgColor rgb="FFE3F2FD"/>
        <bgColor rgb="FFE0F2F1"/>
      </patternFill>
    </fill>
    <fill>
      <patternFill patternType="solid">
        <fgColor rgb="FFBBDEFB"/>
        <bgColor rgb="FFB2DFDB"/>
      </patternFill>
    </fill>
    <fill>
      <patternFill patternType="solid">
        <fgColor rgb="FFF3E5F5"/>
        <bgColor rgb="FFEDE7F6"/>
      </patternFill>
    </fill>
    <fill>
      <patternFill patternType="solid">
        <fgColor rgb="FFFFF8E1"/>
        <bgColor rgb="FFFAFAFA"/>
      </patternFill>
    </fill>
    <fill>
      <patternFill patternType="solid">
        <fgColor rgb="FFEDE7F6"/>
        <bgColor rgb="FFE8EAF6"/>
      </patternFill>
    </fill>
    <fill>
      <patternFill patternType="solid">
        <fgColor rgb="FFE8F5E9"/>
        <bgColor rgb="FFE0F2F1"/>
      </patternFill>
    </fill>
    <fill>
      <patternFill patternType="solid">
        <fgColor rgb="FFEEEEEE"/>
        <bgColor rgb="FFE8EAF6"/>
      </patternFill>
    </fill>
    <fill>
      <patternFill patternType="solid">
        <fgColor rgb="FF3C49A0"/>
        <bgColor rgb="FF316296"/>
      </patternFill>
    </fill>
    <fill>
      <patternFill patternType="solid">
        <fgColor rgb="FF1976D2"/>
        <bgColor rgb="FF0277BD"/>
      </patternFill>
    </fill>
    <fill>
      <patternFill patternType="mediumGray">
        <fgColor rgb="FF007B7F"/>
        <bgColor rgb="FF008D7F"/>
      </patternFill>
    </fill>
    <fill>
      <patternFill patternType="solid">
        <fgColor rgb="FF2E7D32"/>
        <bgColor rgb="FF558B2F"/>
      </patternFill>
    </fill>
    <fill>
      <patternFill patternType="solid">
        <fgColor rgb="FF6A1B9A"/>
        <bgColor rgb="FF6B21C8"/>
      </patternFill>
    </fill>
    <fill>
      <patternFill patternType="solid">
        <fgColor rgb="FF0277BD"/>
        <bgColor rgb="FF1976D2"/>
      </patternFill>
    </fill>
    <fill>
      <patternFill patternType="solid">
        <fgColor rgb="FF558B2F"/>
        <bgColor rgb="FF2E7D32"/>
      </patternFill>
    </fill>
    <fill>
      <patternFill patternType="solid">
        <fgColor rgb="FFE65100"/>
        <bgColor rgb="FFFF6D00"/>
      </patternFill>
    </fill>
    <fill>
      <patternFill patternType="solid">
        <fgColor rgb="FF4E342E"/>
        <bgColor rgb="FF2C2D2C"/>
      </patternFill>
    </fill>
    <fill>
      <patternFill patternType="solid">
        <fgColor rgb="FF37474F"/>
        <bgColor rgb="FF594B41"/>
      </patternFill>
    </fill>
    <fill>
      <patternFill patternType="solid">
        <fgColor rgb="FF880E4F"/>
        <bgColor rgb="FF6A1B9A"/>
      </patternFill>
    </fill>
    <fill>
      <patternFill patternType="solid">
        <fgColor rgb="FFB2EBE0"/>
        <bgColor rgb="FFB2DFDB"/>
      </patternFill>
    </fill>
    <fill>
      <patternFill patternType="solid">
        <fgColor rgb="FF00C853"/>
        <bgColor rgb="FF00B5A5"/>
      </patternFill>
    </fill>
    <fill>
      <patternFill patternType="solid">
        <fgColor rgb="FFFFD600"/>
        <bgColor rgb="FFFFF176"/>
      </patternFill>
    </fill>
    <fill>
      <patternFill patternType="solid">
        <fgColor rgb="FF1565C0"/>
        <bgColor rgb="FF1976D2"/>
      </patternFill>
    </fill>
    <fill>
      <patternFill patternType="solid">
        <fgColor rgb="FFD50000"/>
        <bgColor rgb="FFB71C1C"/>
      </patternFill>
    </fill>
    <fill>
      <patternFill patternType="solid">
        <fgColor rgb="FFFFF176"/>
        <bgColor rgb="FFFFF59D"/>
      </patternFill>
    </fill>
    <fill>
      <patternFill patternType="solid">
        <fgColor rgb="FFFF6D00"/>
        <bgColor rgb="FFE65100"/>
      </patternFill>
    </fill>
    <fill>
      <patternFill patternType="solid">
        <fgColor rgb="FFB71C1C"/>
        <bgColor rgb="FFD50000"/>
      </patternFill>
    </fill>
    <fill>
      <patternFill patternType="solid">
        <fgColor rgb="FFF5F5F5"/>
        <bgColor rgb="FFF0FAFA"/>
      </patternFill>
    </fill>
    <fill>
      <patternFill patternType="solid">
        <fgColor rgb="FFFFF59D"/>
        <bgColor rgb="FFFFF9C4"/>
      </patternFill>
    </fill>
    <fill>
      <patternFill patternType="solid">
        <fgColor rgb="FFA5D6A7"/>
        <bgColor rgb="FFB2DFDB"/>
      </patternFill>
    </fill>
    <fill>
      <patternFill patternType="solid">
        <fgColor theme="0"/>
        <bgColor indexed="64"/>
      </patternFill>
    </fill>
    <fill>
      <patternFill patternType="solid">
        <fgColor rgb="FFF8F9FA"/>
      </patternFill>
    </fill>
    <fill>
      <patternFill patternType="solid">
        <fgColor rgb="FF00B5A5"/>
      </patternFill>
    </fill>
    <fill>
      <patternFill patternType="solid">
        <fgColor rgb="FFFFF9C4"/>
      </patternFill>
    </fill>
    <fill>
      <patternFill patternType="solid">
        <fgColor rgb="FF6B21C8"/>
      </patternFill>
    </fill>
    <fill>
      <patternFill patternType="solid">
        <fgColor rgb="FF00897B"/>
      </patternFill>
    </fill>
    <fill>
      <patternFill patternType="solid">
        <fgColor rgb="FFF8F9FA"/>
      </patternFill>
    </fill>
    <fill>
      <patternFill patternType="solid">
        <fgColor rgb="FF3949AB"/>
      </patternFill>
    </fill>
    <fill>
      <patternFill patternType="solid">
        <fgColor rgb="FFF3E5F5"/>
      </patternFill>
    </fill>
    <fill>
      <patternFill patternType="solid">
        <fgColor rgb="FF1B5E20"/>
      </patternFill>
    </fill>
    <fill>
      <patternFill patternType="solid">
        <fgColor rgb="FF00695C"/>
      </patternFill>
    </fill>
    <fill>
      <patternFill patternType="solid">
        <fgColor rgb="FF2E7D32"/>
      </patternFill>
    </fill>
    <fill>
      <patternFill patternType="solid">
        <fgColor rgb="FFE8F5E9"/>
      </patternFill>
    </fill>
    <fill>
      <patternFill patternType="solid">
        <fgColor rgb="FFC8E6C9"/>
      </patternFill>
    </fill>
    <fill>
      <patternFill patternType="solid">
        <fgColor rgb="FFA5D6A7"/>
      </patternFill>
    </fill>
    <fill>
      <patternFill patternType="solid">
        <fgColor rgb="FF81C784"/>
      </patternFill>
    </fill>
    <fill>
      <patternFill patternType="solid">
        <fgColor rgb="FF66BB6A"/>
      </patternFill>
    </fill>
    <fill>
      <patternFill patternType="solid">
        <fgColor rgb="FFF1F8E9"/>
      </patternFill>
    </fill>
    <fill>
      <patternFill patternType="solid">
        <fgColor rgb="FF388E3C"/>
      </patternFill>
    </fill>
    <fill>
      <patternFill patternType="solid">
        <fgColor rgb="FF21212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C8E6C9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FFCDD2"/>
        <bgColor indexed="64"/>
      </patternFill>
    </fill>
    <fill>
      <patternFill patternType="solid">
        <fgColor rgb="FFA5D6A7"/>
        <bgColor indexed="64"/>
      </patternFill>
    </fill>
  </fills>
  <borders count="29">
    <border>
      <left/>
      <right/>
      <top/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/>
      <top/>
      <bottom style="medium">
        <color rgb="FF00B5A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thin">
        <color rgb="FFCCCCCC"/>
      </bottom>
      <diagonal/>
    </border>
    <border>
      <left style="medium">
        <color rgb="FFFFFFFF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rgb="FFCCCCCC"/>
      </bottom>
      <diagonal/>
    </border>
    <border>
      <left/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0D5220"/>
      </left>
      <right style="medium">
        <color rgb="FF0D5220"/>
      </right>
      <top style="medium">
        <color rgb="FF0D5220"/>
      </top>
      <bottom style="medium">
        <color rgb="FF0D5220"/>
      </bottom>
      <diagonal/>
    </border>
    <border>
      <left/>
      <right style="medium">
        <color rgb="FF0D5220"/>
      </right>
      <top style="medium">
        <color rgb="FF0D5220"/>
      </top>
      <bottom style="medium">
        <color rgb="FF0D5220"/>
      </bottom>
      <diagonal/>
    </border>
    <border>
      <left style="thin">
        <color rgb="FFCCCCCC"/>
      </left>
      <right style="thin">
        <color rgb="FFCCCCCC"/>
      </right>
      <top/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3">
    <xf numFmtId="0" fontId="0" fillId="0" borderId="0"/>
    <xf numFmtId="0" fontId="32" fillId="0" borderId="0"/>
    <xf numFmtId="43" fontId="44" fillId="0" borderId="0"/>
  </cellStyleXfs>
  <cellXfs count="184">
    <xf numFmtId="0" fontId="0" fillId="0" borderId="0" xfId="0"/>
    <xf numFmtId="0" fontId="0" fillId="3" borderId="0" xfId="0" applyFill="1"/>
    <xf numFmtId="0" fontId="4" fillId="13" borderId="3" xfId="0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 wrapText="1"/>
    </xf>
    <xf numFmtId="0" fontId="4" fillId="15" borderId="3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4" fillId="18" borderId="3" xfId="0" applyFont="1" applyFill="1" applyBorder="1" applyAlignment="1">
      <alignment horizontal="center" vertical="center" wrapText="1"/>
    </xf>
    <xf numFmtId="0" fontId="6" fillId="20" borderId="3" xfId="0" applyFont="1" applyFill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3" fontId="0" fillId="21" borderId="3" xfId="0" applyNumberFormat="1" applyFill="1" applyBorder="1" applyAlignment="1">
      <alignment horizontal="center" vertical="center"/>
    </xf>
    <xf numFmtId="4" fontId="0" fillId="21" borderId="3" xfId="0" applyNumberFormat="1" applyFill="1" applyBorder="1" applyAlignment="1">
      <alignment horizontal="right" vertical="center"/>
    </xf>
    <xf numFmtId="4" fontId="8" fillId="22" borderId="3" xfId="0" applyNumberFormat="1" applyFont="1" applyFill="1" applyBorder="1" applyAlignment="1">
      <alignment horizontal="right" vertical="center"/>
    </xf>
    <xf numFmtId="3" fontId="0" fillId="23" borderId="3" xfId="0" applyNumberFormat="1" applyFill="1" applyBorder="1" applyAlignment="1">
      <alignment horizontal="center" vertical="center"/>
    </xf>
    <xf numFmtId="4" fontId="0" fillId="23" borderId="3" xfId="0" applyNumberFormat="1" applyFill="1" applyBorder="1" applyAlignment="1">
      <alignment horizontal="right" vertical="center"/>
    </xf>
    <xf numFmtId="4" fontId="9" fillId="24" borderId="3" xfId="0" applyNumberFormat="1" applyFont="1" applyFill="1" applyBorder="1" applyAlignment="1">
      <alignment horizontal="right" vertical="center"/>
    </xf>
    <xf numFmtId="3" fontId="0" fillId="25" borderId="3" xfId="0" applyNumberFormat="1" applyFill="1" applyBorder="1" applyAlignment="1">
      <alignment horizontal="center" vertical="center"/>
    </xf>
    <xf numFmtId="4" fontId="0" fillId="25" borderId="3" xfId="0" applyNumberFormat="1" applyFill="1" applyBorder="1" applyAlignment="1">
      <alignment horizontal="right" vertical="center"/>
    </xf>
    <xf numFmtId="4" fontId="10" fillId="26" borderId="3" xfId="0" applyNumberFormat="1" applyFont="1" applyFill="1" applyBorder="1" applyAlignment="1">
      <alignment horizontal="right" vertical="center"/>
    </xf>
    <xf numFmtId="0" fontId="11" fillId="27" borderId="3" xfId="0" applyFont="1" applyFill="1" applyBorder="1" applyAlignment="1">
      <alignment horizontal="center" vertical="center"/>
    </xf>
    <xf numFmtId="0" fontId="12" fillId="27" borderId="3" xfId="0" applyFont="1" applyFill="1" applyBorder="1" applyAlignment="1">
      <alignment vertical="center" wrapText="1"/>
    </xf>
    <xf numFmtId="0" fontId="11" fillId="28" borderId="3" xfId="0" applyFont="1" applyFill="1" applyBorder="1" applyAlignment="1">
      <alignment horizontal="center" vertical="center"/>
    </xf>
    <xf numFmtId="14" fontId="12" fillId="28" borderId="3" xfId="0" applyNumberFormat="1" applyFont="1" applyFill="1" applyBorder="1" applyAlignment="1">
      <alignment horizontal="center" vertical="center"/>
    </xf>
    <xf numFmtId="4" fontId="12" fillId="28" borderId="3" xfId="0" applyNumberFormat="1" applyFont="1" applyFill="1" applyBorder="1" applyAlignment="1">
      <alignment horizontal="right" vertical="center"/>
    </xf>
    <xf numFmtId="0" fontId="12" fillId="28" borderId="3" xfId="0" applyFont="1" applyFill="1" applyBorder="1" applyAlignment="1">
      <alignment vertical="center" wrapText="1"/>
    </xf>
    <xf numFmtId="4" fontId="12" fillId="29" borderId="3" xfId="0" applyNumberFormat="1" applyFont="1" applyFill="1" applyBorder="1" applyAlignment="1">
      <alignment horizontal="right" vertical="center"/>
    </xf>
    <xf numFmtId="0" fontId="11" fillId="29" borderId="3" xfId="0" applyFont="1" applyFill="1" applyBorder="1" applyAlignment="1">
      <alignment horizontal="center" vertical="center"/>
    </xf>
    <xf numFmtId="4" fontId="13" fillId="30" borderId="3" xfId="0" applyNumberFormat="1" applyFont="1" applyFill="1" applyBorder="1" applyAlignment="1">
      <alignment horizontal="right" vertical="center"/>
    </xf>
    <xf numFmtId="0" fontId="0" fillId="31" borderId="7" xfId="0" applyFill="1" applyBorder="1"/>
    <xf numFmtId="4" fontId="15" fillId="22" borderId="7" xfId="0" applyNumberFormat="1" applyFont="1" applyFill="1" applyBorder="1" applyAlignment="1">
      <alignment horizontal="right" vertical="center"/>
    </xf>
    <xf numFmtId="4" fontId="16" fillId="24" borderId="7" xfId="0" applyNumberFormat="1" applyFont="1" applyFill="1" applyBorder="1" applyAlignment="1">
      <alignment horizontal="right" vertical="center"/>
    </xf>
    <xf numFmtId="4" fontId="17" fillId="26" borderId="7" xfId="0" applyNumberFormat="1" applyFont="1" applyFill="1" applyBorder="1" applyAlignment="1">
      <alignment horizontal="right" vertical="center"/>
    </xf>
    <xf numFmtId="4" fontId="18" fillId="28" borderId="7" xfId="0" applyNumberFormat="1" applyFont="1" applyFill="1" applyBorder="1" applyAlignment="1">
      <alignment horizontal="right" vertical="center"/>
    </xf>
    <xf numFmtId="4" fontId="19" fillId="29" borderId="7" xfId="0" applyNumberFormat="1" applyFont="1" applyFill="1" applyBorder="1" applyAlignment="1">
      <alignment horizontal="right" vertical="center"/>
    </xf>
    <xf numFmtId="4" fontId="20" fillId="30" borderId="7" xfId="0" applyNumberFormat="1" applyFont="1" applyFill="1" applyBorder="1" applyAlignment="1">
      <alignment horizontal="right" vertical="center"/>
    </xf>
    <xf numFmtId="0" fontId="0" fillId="43" borderId="7" xfId="0" applyFill="1" applyBorder="1"/>
    <xf numFmtId="4" fontId="22" fillId="22" borderId="7" xfId="0" applyNumberFormat="1" applyFont="1" applyFill="1" applyBorder="1" applyAlignment="1">
      <alignment horizontal="right" vertical="center"/>
    </xf>
    <xf numFmtId="4" fontId="23" fillId="24" borderId="7" xfId="0" applyNumberFormat="1" applyFont="1" applyFill="1" applyBorder="1" applyAlignment="1">
      <alignment horizontal="right" vertical="center"/>
    </xf>
    <xf numFmtId="4" fontId="24" fillId="26" borderId="7" xfId="0" applyNumberFormat="1" applyFont="1" applyFill="1" applyBorder="1" applyAlignment="1">
      <alignment horizontal="right" vertical="center"/>
    </xf>
    <xf numFmtId="4" fontId="25" fillId="28" borderId="7" xfId="0" applyNumberFormat="1" applyFont="1" applyFill="1" applyBorder="1" applyAlignment="1">
      <alignment horizontal="right" vertical="center"/>
    </xf>
    <xf numFmtId="4" fontId="26" fillId="29" borderId="7" xfId="0" applyNumberFormat="1" applyFont="1" applyFill="1" applyBorder="1" applyAlignment="1">
      <alignment horizontal="right" vertical="center"/>
    </xf>
    <xf numFmtId="4" fontId="27" fillId="30" borderId="7" xfId="0" applyNumberFormat="1" applyFont="1" applyFill="1" applyBorder="1" applyAlignment="1">
      <alignment horizontal="right" vertical="center"/>
    </xf>
    <xf numFmtId="0" fontId="11" fillId="0" borderId="0" xfId="0" applyFont="1"/>
    <xf numFmtId="0" fontId="14" fillId="44" borderId="3" xfId="0" applyFont="1" applyFill="1" applyBorder="1" applyAlignment="1">
      <alignment horizontal="center" vertical="center"/>
    </xf>
    <xf numFmtId="0" fontId="28" fillId="45" borderId="3" xfId="0" applyFont="1" applyFill="1" applyBorder="1" applyAlignment="1">
      <alignment horizontal="center" vertical="center"/>
    </xf>
    <xf numFmtId="0" fontId="14" fillId="46" borderId="3" xfId="0" applyFont="1" applyFill="1" applyBorder="1" applyAlignment="1">
      <alignment horizontal="center" vertical="center"/>
    </xf>
    <xf numFmtId="0" fontId="14" fillId="47" borderId="3" xfId="0" applyFont="1" applyFill="1" applyBorder="1" applyAlignment="1">
      <alignment horizontal="center" vertical="center"/>
    </xf>
    <xf numFmtId="0" fontId="28" fillId="48" borderId="3" xfId="0" applyFont="1" applyFill="1" applyBorder="1" applyAlignment="1">
      <alignment horizontal="center" vertical="center"/>
    </xf>
    <xf numFmtId="0" fontId="14" fillId="49" borderId="3" xfId="0" applyFont="1" applyFill="1" applyBorder="1" applyAlignment="1">
      <alignment horizontal="center" vertical="center"/>
    </xf>
    <xf numFmtId="0" fontId="14" fillId="33" borderId="3" xfId="0" applyFont="1" applyFill="1" applyBorder="1" applyAlignment="1">
      <alignment horizontal="center" vertical="center"/>
    </xf>
    <xf numFmtId="0" fontId="14" fillId="35" borderId="3" xfId="0" applyFont="1" applyFill="1" applyBorder="1" applyAlignment="1">
      <alignment horizontal="center" vertical="center"/>
    </xf>
    <xf numFmtId="0" fontId="14" fillId="5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3" fillId="3" borderId="7" xfId="0" applyFont="1" applyFill="1" applyBorder="1" applyAlignment="1">
      <alignment horizontal="center" vertical="center" wrapText="1"/>
    </xf>
    <xf numFmtId="0" fontId="11" fillId="51" borderId="3" xfId="0" applyFont="1" applyFill="1" applyBorder="1"/>
    <xf numFmtId="4" fontId="12" fillId="21" borderId="3" xfId="0" applyNumberFormat="1" applyFont="1" applyFill="1" applyBorder="1" applyAlignment="1">
      <alignment horizontal="right" vertical="center"/>
    </xf>
    <xf numFmtId="4" fontId="12" fillId="23" borderId="3" xfId="0" applyNumberFormat="1" applyFont="1" applyFill="1" applyBorder="1" applyAlignment="1">
      <alignment horizontal="right" vertical="center"/>
    </xf>
    <xf numFmtId="4" fontId="12" fillId="25" borderId="3" xfId="0" applyNumberFormat="1" applyFont="1" applyFill="1" applyBorder="1" applyAlignment="1">
      <alignment horizontal="right" vertical="center"/>
    </xf>
    <xf numFmtId="4" fontId="12" fillId="30" borderId="3" xfId="0" applyNumberFormat="1" applyFont="1" applyFill="1" applyBorder="1" applyAlignment="1">
      <alignment horizontal="right" vertical="center"/>
    </xf>
    <xf numFmtId="0" fontId="5" fillId="3" borderId="7" xfId="0" applyFont="1" applyFill="1" applyBorder="1" applyAlignment="1">
      <alignment horizontal="center" vertical="center"/>
    </xf>
    <xf numFmtId="4" fontId="31" fillId="22" borderId="7" xfId="0" applyNumberFormat="1" applyFont="1" applyFill="1" applyBorder="1" applyAlignment="1">
      <alignment horizontal="right" vertical="center"/>
    </xf>
    <xf numFmtId="4" fontId="31" fillId="24" borderId="7" xfId="0" applyNumberFormat="1" applyFont="1" applyFill="1" applyBorder="1" applyAlignment="1">
      <alignment horizontal="right" vertical="center"/>
    </xf>
    <xf numFmtId="4" fontId="31" fillId="26" borderId="7" xfId="0" applyNumberFormat="1" applyFont="1" applyFill="1" applyBorder="1" applyAlignment="1">
      <alignment horizontal="right" vertical="center"/>
    </xf>
    <xf numFmtId="4" fontId="31" fillId="52" borderId="7" xfId="0" applyNumberFormat="1" applyFont="1" applyFill="1" applyBorder="1" applyAlignment="1">
      <alignment horizontal="right" vertical="center"/>
    </xf>
    <xf numFmtId="4" fontId="31" fillId="53" borderId="7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5" fillId="55" borderId="0" xfId="0" applyFont="1" applyFill="1" applyAlignment="1">
      <alignment horizontal="left" vertical="center"/>
    </xf>
    <xf numFmtId="0" fontId="34" fillId="55" borderId="0" xfId="0" applyFont="1" applyFill="1" applyAlignment="1">
      <alignment horizontal="left" vertical="center"/>
    </xf>
    <xf numFmtId="0" fontId="33" fillId="55" borderId="0" xfId="0" applyFont="1" applyFill="1" applyAlignment="1">
      <alignment horizontal="left" vertical="center"/>
    </xf>
    <xf numFmtId="0" fontId="0" fillId="63" borderId="0" xfId="0" applyFill="1"/>
    <xf numFmtId="0" fontId="50" fillId="66" borderId="23" xfId="0" applyFont="1" applyFill="1" applyBorder="1" applyAlignment="1">
      <alignment vertical="center" wrapText="1"/>
    </xf>
    <xf numFmtId="3" fontId="51" fillId="67" borderId="23" xfId="0" applyNumberFormat="1" applyFont="1" applyFill="1" applyBorder="1" applyAlignment="1">
      <alignment horizontal="center" vertical="center"/>
    </xf>
    <xf numFmtId="4" fontId="52" fillId="68" borderId="23" xfId="0" applyNumberFormat="1" applyFont="1" applyFill="1" applyBorder="1" applyAlignment="1">
      <alignment horizontal="right" vertical="center"/>
    </xf>
    <xf numFmtId="3" fontId="51" fillId="69" borderId="23" xfId="0" applyNumberFormat="1" applyFont="1" applyFill="1" applyBorder="1" applyAlignment="1">
      <alignment horizontal="center" vertical="center"/>
    </xf>
    <xf numFmtId="4" fontId="52" fillId="70" borderId="23" xfId="0" applyNumberFormat="1" applyFont="1" applyFill="1" applyBorder="1" applyAlignment="1">
      <alignment horizontal="right" vertical="center"/>
    </xf>
    <xf numFmtId="0" fontId="47" fillId="63" borderId="23" xfId="0" applyFont="1" applyFill="1" applyBorder="1" applyAlignment="1">
      <alignment horizontal="right" vertical="center"/>
    </xf>
    <xf numFmtId="0" fontId="12" fillId="63" borderId="23" xfId="0" applyFont="1" applyFill="1" applyBorder="1" applyAlignment="1">
      <alignment horizontal="left" vertical="center" wrapText="1"/>
    </xf>
    <xf numFmtId="1" fontId="12" fillId="67" borderId="23" xfId="2" applyNumberFormat="1" applyFont="1" applyFill="1" applyBorder="1" applyAlignment="1">
      <alignment horizontal="center" vertical="center" wrapText="1"/>
    </xf>
    <xf numFmtId="4" fontId="53" fillId="68" borderId="23" xfId="2" applyNumberFormat="1" applyFont="1" applyFill="1" applyBorder="1" applyAlignment="1">
      <alignment horizontal="right" vertical="center"/>
    </xf>
    <xf numFmtId="1" fontId="12" fillId="69" borderId="23" xfId="2" applyNumberFormat="1" applyFont="1" applyFill="1" applyBorder="1" applyAlignment="1">
      <alignment horizontal="center" vertical="center" wrapText="1"/>
    </xf>
    <xf numFmtId="43" fontId="12" fillId="69" borderId="23" xfId="2" applyFont="1" applyFill="1" applyBorder="1" applyAlignment="1">
      <alignment vertical="center" wrapText="1"/>
    </xf>
    <xf numFmtId="4" fontId="53" fillId="70" borderId="23" xfId="2" applyNumberFormat="1" applyFont="1" applyFill="1" applyBorder="1" applyAlignment="1">
      <alignment horizontal="right" vertical="center"/>
    </xf>
    <xf numFmtId="0" fontId="50" fillId="71" borderId="23" xfId="0" applyFont="1" applyFill="1" applyBorder="1" applyAlignment="1">
      <alignment vertical="center" wrapText="1"/>
    </xf>
    <xf numFmtId="0" fontId="47" fillId="65" borderId="23" xfId="0" applyFont="1" applyFill="1" applyBorder="1" applyAlignment="1">
      <alignment horizontal="right" vertical="center"/>
    </xf>
    <xf numFmtId="0" fontId="12" fillId="65" borderId="23" xfId="0" applyFont="1" applyFill="1" applyBorder="1" applyAlignment="1">
      <alignment horizontal="left" vertical="center" wrapText="1"/>
    </xf>
    <xf numFmtId="0" fontId="54" fillId="72" borderId="20" xfId="0" applyFont="1" applyFill="1" applyBorder="1" applyAlignment="1">
      <alignment horizontal="left" vertical="center"/>
    </xf>
    <xf numFmtId="0" fontId="12" fillId="72" borderId="21" xfId="0" applyFont="1" applyFill="1" applyBorder="1" applyAlignment="1">
      <alignment horizontal="left" vertical="center" wrapText="1"/>
    </xf>
    <xf numFmtId="1" fontId="12" fillId="72" borderId="21" xfId="2" applyNumberFormat="1" applyFont="1" applyFill="1" applyBorder="1" applyAlignment="1">
      <alignment horizontal="center" vertical="center" wrapText="1"/>
    </xf>
    <xf numFmtId="43" fontId="12" fillId="72" borderId="21" xfId="2" applyFont="1" applyFill="1" applyBorder="1" applyAlignment="1">
      <alignment vertical="center" wrapText="1"/>
    </xf>
    <xf numFmtId="43" fontId="12" fillId="72" borderId="16" xfId="2" applyFont="1" applyFill="1" applyBorder="1" applyAlignment="1">
      <alignment vertical="center" wrapText="1"/>
    </xf>
    <xf numFmtId="1" fontId="45" fillId="63" borderId="24" xfId="2" applyNumberFormat="1" applyFont="1" applyFill="1" applyBorder="1" applyAlignment="1">
      <alignment horizontal="center" vertical="center" wrapText="1"/>
    </xf>
    <xf numFmtId="43" fontId="45" fillId="63" borderId="24" xfId="2" applyFont="1" applyFill="1" applyBorder="1" applyAlignment="1">
      <alignment horizontal="center" vertical="center" wrapText="1"/>
    </xf>
    <xf numFmtId="4" fontId="54" fillId="63" borderId="24" xfId="2" applyNumberFormat="1" applyFont="1" applyFill="1" applyBorder="1" applyAlignment="1">
      <alignment horizontal="right" vertical="center"/>
    </xf>
    <xf numFmtId="0" fontId="48" fillId="64" borderId="23" xfId="0" applyFont="1" applyFill="1" applyBorder="1" applyAlignment="1">
      <alignment horizontal="center" vertical="center" wrapText="1"/>
    </xf>
    <xf numFmtId="0" fontId="48" fillId="65" borderId="23" xfId="0" applyFont="1" applyFill="1" applyBorder="1" applyAlignment="1">
      <alignment horizontal="center" vertical="center" wrapText="1"/>
    </xf>
    <xf numFmtId="4" fontId="51" fillId="67" borderId="23" xfId="0" applyNumberFormat="1" applyFont="1" applyFill="1" applyBorder="1" applyAlignment="1">
      <alignment horizontal="right" vertical="center"/>
    </xf>
    <xf numFmtId="4" fontId="51" fillId="69" borderId="23" xfId="0" applyNumberFormat="1" applyFont="1" applyFill="1" applyBorder="1" applyAlignment="1">
      <alignment horizontal="right" vertical="center"/>
    </xf>
    <xf numFmtId="43" fontId="12" fillId="67" borderId="23" xfId="2" applyFont="1" applyFill="1" applyBorder="1" applyAlignment="1">
      <alignment horizontal="right" vertical="center"/>
    </xf>
    <xf numFmtId="0" fontId="56" fillId="74" borderId="28" xfId="0" applyFont="1" applyFill="1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4" fontId="57" fillId="75" borderId="28" xfId="0" applyNumberFormat="1" applyFont="1" applyFill="1" applyBorder="1" applyAlignment="1">
      <alignment horizontal="right" vertical="center"/>
    </xf>
    <xf numFmtId="0" fontId="56" fillId="76" borderId="28" xfId="0" applyFont="1" applyFill="1" applyBorder="1" applyAlignment="1">
      <alignment horizontal="right" vertical="center"/>
    </xf>
    <xf numFmtId="4" fontId="58" fillId="77" borderId="28" xfId="0" applyNumberFormat="1" applyFont="1" applyFill="1" applyBorder="1" applyAlignment="1">
      <alignment horizontal="right" vertical="center"/>
    </xf>
    <xf numFmtId="0" fontId="56" fillId="73" borderId="28" xfId="0" applyFont="1" applyFill="1" applyBorder="1" applyAlignment="1">
      <alignment horizontal="right" vertical="center"/>
    </xf>
    <xf numFmtId="4" fontId="57" fillId="78" borderId="28" xfId="0" applyNumberFormat="1" applyFont="1" applyFill="1" applyBorder="1" applyAlignment="1">
      <alignment horizontal="right" vertical="center"/>
    </xf>
    <xf numFmtId="0" fontId="55" fillId="7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41" borderId="5" xfId="0" applyFont="1" applyFill="1" applyBorder="1" applyAlignment="1">
      <alignment horizontal="right" vertical="center"/>
    </xf>
    <xf numFmtId="0" fontId="0" fillId="0" borderId="12" xfId="0" applyBorder="1"/>
    <xf numFmtId="0" fontId="3" fillId="58" borderId="15" xfId="0" applyFont="1" applyFill="1" applyBorder="1" applyAlignment="1">
      <alignment horizontal="right" vertical="center"/>
    </xf>
    <xf numFmtId="0" fontId="0" fillId="0" borderId="0" xfId="0"/>
    <xf numFmtId="0" fontId="5" fillId="39" borderId="5" xfId="0" applyFont="1" applyFill="1" applyBorder="1" applyAlignment="1">
      <alignment horizontal="left" vertical="center"/>
    </xf>
    <xf numFmtId="0" fontId="1" fillId="4" borderId="10" xfId="0" applyFont="1" applyFill="1" applyBorder="1" applyAlignment="1">
      <alignment horizontal="right" vertical="center"/>
    </xf>
    <xf numFmtId="0" fontId="0" fillId="0" borderId="10" xfId="0" applyBorder="1"/>
    <xf numFmtId="0" fontId="3" fillId="11" borderId="5" xfId="0" applyFont="1" applyFill="1" applyBorder="1" applyAlignment="1">
      <alignment horizontal="center" vertical="center" wrapText="1"/>
    </xf>
    <xf numFmtId="0" fontId="0" fillId="5" borderId="0" xfId="0" applyFill="1"/>
    <xf numFmtId="0" fontId="36" fillId="56" borderId="0" xfId="0" applyFont="1" applyFill="1" applyAlignment="1">
      <alignment horizontal="center" vertical="center"/>
    </xf>
    <xf numFmtId="0" fontId="43" fillId="62" borderId="0" xfId="0" applyFont="1" applyFill="1" applyAlignment="1">
      <alignment horizontal="center" vertical="center"/>
    </xf>
    <xf numFmtId="0" fontId="14" fillId="19" borderId="5" xfId="0" applyFont="1" applyFill="1" applyBorder="1" applyAlignment="1">
      <alignment horizontal="right" vertical="center"/>
    </xf>
    <xf numFmtId="0" fontId="32" fillId="0" borderId="9" xfId="1" applyBorder="1" applyAlignment="1">
      <alignment horizontal="center"/>
    </xf>
    <xf numFmtId="0" fontId="1" fillId="4" borderId="1" xfId="0" applyFont="1" applyFill="1" applyBorder="1" applyAlignment="1">
      <alignment horizontal="right" vertical="center"/>
    </xf>
    <xf numFmtId="0" fontId="0" fillId="0" borderId="11" xfId="0" applyBorder="1"/>
    <xf numFmtId="0" fontId="14" fillId="34" borderId="5" xfId="0" applyFont="1" applyFill="1" applyBorder="1" applyAlignment="1">
      <alignment horizontal="right" vertical="center"/>
    </xf>
    <xf numFmtId="0" fontId="0" fillId="54" borderId="8" xfId="0" applyFill="1" applyBorder="1" applyAlignment="1">
      <alignment horizontal="center"/>
    </xf>
    <xf numFmtId="0" fontId="0" fillId="0" borderId="8" xfId="0" applyBorder="1"/>
    <xf numFmtId="0" fontId="14" fillId="33" borderId="5" xfId="0" applyFont="1" applyFill="1" applyBorder="1" applyAlignment="1">
      <alignment horizontal="right" vertical="center"/>
    </xf>
    <xf numFmtId="0" fontId="5" fillId="36" borderId="5" xfId="0" applyFont="1" applyFill="1" applyBorder="1" applyAlignment="1">
      <alignment horizontal="left" vertical="center"/>
    </xf>
    <xf numFmtId="0" fontId="5" fillId="19" borderId="5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42" borderId="5" xfId="0" applyFont="1" applyFill="1" applyBorder="1" applyAlignment="1">
      <alignment horizontal="left" vertical="center"/>
    </xf>
    <xf numFmtId="0" fontId="47" fillId="64" borderId="23" xfId="0" applyFont="1" applyFill="1" applyBorder="1" applyAlignment="1">
      <alignment horizontal="center" vertical="center"/>
    </xf>
    <xf numFmtId="0" fontId="0" fillId="0" borderId="27" xfId="0" applyBorder="1"/>
    <xf numFmtId="0" fontId="14" fillId="42" borderId="5" xfId="0" applyFont="1" applyFill="1" applyBorder="1" applyAlignment="1">
      <alignment horizontal="right" vertical="center"/>
    </xf>
    <xf numFmtId="0" fontId="5" fillId="41" borderId="5" xfId="0" applyFont="1" applyFill="1" applyBorder="1" applyAlignment="1">
      <alignment horizontal="left" vertical="center"/>
    </xf>
    <xf numFmtId="0" fontId="47" fillId="65" borderId="23" xfId="0" applyFont="1" applyFill="1" applyBorder="1" applyAlignment="1">
      <alignment horizontal="center" vertical="center"/>
    </xf>
    <xf numFmtId="0" fontId="14" fillId="36" borderId="5" xfId="0" applyFont="1" applyFill="1" applyBorder="1" applyAlignment="1">
      <alignment horizontal="right" vertical="center"/>
    </xf>
    <xf numFmtId="0" fontId="14" fillId="39" borderId="5" xfId="0" applyFont="1" applyFill="1" applyBorder="1" applyAlignment="1">
      <alignment horizontal="right" vertical="center"/>
    </xf>
    <xf numFmtId="0" fontId="46" fillId="63" borderId="24" xfId="0" applyFont="1" applyFill="1" applyBorder="1" applyAlignment="1">
      <alignment horizontal="center" vertical="center"/>
    </xf>
    <xf numFmtId="0" fontId="0" fillId="0" borderId="25" xfId="0" applyBorder="1"/>
    <xf numFmtId="0" fontId="5" fillId="38" borderId="5" xfId="0" applyFont="1" applyFill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14" fillId="32" borderId="5" xfId="0" applyFont="1" applyFill="1" applyBorder="1" applyAlignment="1">
      <alignment horizontal="right" vertical="center"/>
    </xf>
    <xf numFmtId="0" fontId="2" fillId="5" borderId="0" xfId="0" applyFont="1" applyFill="1" applyAlignment="1">
      <alignment horizontal="center"/>
    </xf>
    <xf numFmtId="0" fontId="14" fillId="35" borderId="5" xfId="0" applyFont="1" applyFill="1" applyBorder="1" applyAlignment="1">
      <alignment horizontal="right" vertical="center"/>
    </xf>
    <xf numFmtId="0" fontId="5" fillId="32" borderId="5" xfId="0" applyFont="1" applyFill="1" applyBorder="1" applyAlignment="1">
      <alignment horizontal="left" vertical="center"/>
    </xf>
    <xf numFmtId="0" fontId="14" fillId="37" borderId="5" xfId="0" applyFont="1" applyFill="1" applyBorder="1" applyAlignment="1">
      <alignment horizontal="right" vertical="center"/>
    </xf>
    <xf numFmtId="0" fontId="32" fillId="5" borderId="0" xfId="1" applyFill="1" applyAlignment="1">
      <alignment horizontal="center"/>
    </xf>
    <xf numFmtId="0" fontId="5" fillId="35" borderId="5" xfId="0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0" fillId="0" borderId="13" xfId="0" applyBorder="1"/>
    <xf numFmtId="0" fontId="5" fillId="37" borderId="5" xfId="0" applyFont="1" applyFill="1" applyBorder="1" applyAlignment="1">
      <alignment horizontal="left" vertical="center"/>
    </xf>
    <xf numFmtId="0" fontId="3" fillId="6" borderId="5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12" borderId="6" xfId="0" applyFont="1" applyFill="1" applyBorder="1" applyAlignment="1">
      <alignment horizontal="center" vertical="center" wrapText="1"/>
    </xf>
    <xf numFmtId="0" fontId="0" fillId="0" borderId="14" xfId="0" applyBorder="1"/>
    <xf numFmtId="0" fontId="49" fillId="65" borderId="23" xfId="0" applyFont="1" applyFill="1" applyBorder="1" applyAlignment="1">
      <alignment horizontal="center" vertical="center" wrapText="1"/>
    </xf>
    <xf numFmtId="0" fontId="0" fillId="0" borderId="26" xfId="0" applyBorder="1"/>
    <xf numFmtId="0" fontId="0" fillId="0" borderId="19" xfId="0" applyBorder="1"/>
    <xf numFmtId="0" fontId="5" fillId="33" borderId="5" xfId="0" applyFont="1" applyFill="1" applyBorder="1" applyAlignment="1">
      <alignment horizontal="left" vertical="center"/>
    </xf>
    <xf numFmtId="0" fontId="46" fillId="63" borderId="22" xfId="0" applyFont="1" applyFill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14" fillId="38" borderId="5" xfId="0" applyFont="1" applyFill="1" applyBorder="1" applyAlignment="1">
      <alignment horizontal="right" vertical="center"/>
    </xf>
    <xf numFmtId="0" fontId="14" fillId="40" borderId="5" xfId="0" applyFont="1" applyFill="1" applyBorder="1" applyAlignment="1">
      <alignment horizontal="right" vertical="center"/>
    </xf>
    <xf numFmtId="0" fontId="3" fillId="9" borderId="5" xfId="0" applyFont="1" applyFill="1" applyBorder="1" applyAlignment="1">
      <alignment horizontal="center" vertical="center" wrapText="1"/>
    </xf>
    <xf numFmtId="0" fontId="49" fillId="63" borderId="23" xfId="0" applyFont="1" applyFill="1" applyBorder="1" applyAlignment="1">
      <alignment horizontal="center" vertical="center" wrapText="1"/>
    </xf>
    <xf numFmtId="0" fontId="47" fillId="63" borderId="23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5" fillId="34" borderId="5" xfId="0" applyFont="1" applyFill="1" applyBorder="1" applyAlignment="1">
      <alignment horizontal="left" vertical="center"/>
    </xf>
    <xf numFmtId="0" fontId="21" fillId="3" borderId="5" xfId="0" applyFont="1" applyFill="1" applyBorder="1" applyAlignment="1">
      <alignment horizontal="center" vertical="center"/>
    </xf>
    <xf numFmtId="0" fontId="5" fillId="40" borderId="5" xfId="0" applyFont="1" applyFill="1" applyBorder="1" applyAlignment="1">
      <alignment horizontal="left" vertical="center"/>
    </xf>
    <xf numFmtId="0" fontId="41" fillId="60" borderId="0" xfId="0" applyFont="1" applyFill="1" applyAlignment="1">
      <alignment horizontal="left" vertical="center"/>
    </xf>
    <xf numFmtId="0" fontId="42" fillId="60" borderId="0" xfId="0" applyFont="1" applyFill="1" applyAlignment="1">
      <alignment horizontal="left" vertical="center"/>
    </xf>
    <xf numFmtId="0" fontId="40" fillId="60" borderId="0" xfId="0" applyFont="1" applyFill="1" applyAlignment="1">
      <alignment horizontal="left" vertical="center"/>
    </xf>
    <xf numFmtId="0" fontId="32" fillId="0" borderId="2" xfId="1" applyBorder="1"/>
    <xf numFmtId="0" fontId="0" fillId="0" borderId="2" xfId="0" applyBorder="1"/>
    <xf numFmtId="0" fontId="39" fillId="59" borderId="0" xfId="0" applyFont="1" applyFill="1" applyAlignment="1">
      <alignment horizontal="left" vertical="center"/>
    </xf>
    <xf numFmtId="0" fontId="30" fillId="0" borderId="2" xfId="0" applyFont="1" applyBorder="1"/>
    <xf numFmtId="0" fontId="39" fillId="61" borderId="0" xfId="0" applyFont="1" applyFill="1" applyAlignment="1">
      <alignment horizontal="left" vertical="center"/>
    </xf>
    <xf numFmtId="0" fontId="37" fillId="57" borderId="0" xfId="0" applyFont="1" applyFill="1" applyAlignment="1">
      <alignment horizontal="left" vertical="center" wrapText="1"/>
    </xf>
    <xf numFmtId="0" fontId="38" fillId="58" borderId="0" xfId="0" applyFont="1" applyFill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29" fillId="9" borderId="0" xfId="0" applyFont="1" applyFill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140"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2E7D32"/>
      </font>
      <fill>
        <patternFill>
          <bgColor rgb="FFE8F5E9"/>
        </patternFill>
      </fill>
    </dxf>
    <dxf>
      <font>
        <b/>
        <color rgb="FFB71C1C"/>
      </font>
      <fill>
        <patternFill>
          <bgColor rgb="FFFFEBEE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E65100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1976D2"/>
        </patternFill>
      </fill>
    </dxf>
    <dxf>
      <font>
        <b/>
        <color rgb="FFFFFFFF"/>
      </font>
      <fill>
        <patternFill>
          <bgColor rgb="FFFF6D00"/>
        </patternFill>
      </fill>
    </dxf>
    <dxf>
      <font>
        <b/>
        <color rgb="FF2D2D2D"/>
      </font>
      <fill>
        <patternFill>
          <bgColor rgb="FFFFF176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  <dxf>
      <font>
        <b/>
        <color rgb="FFFFFFFF"/>
      </font>
      <fill>
        <patternFill>
          <bgColor rgb="FFD50000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2D2D2D"/>
      </font>
      <fill>
        <patternFill>
          <bgColor rgb="FFFFD600"/>
        </patternFill>
      </fill>
    </dxf>
    <dxf>
      <font>
        <b/>
        <color rgb="FFFFFFFF"/>
      </font>
      <fill>
        <patternFill>
          <bgColor rgb="FF00C85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D50000"/>
      <rgbColor rgb="FFF0FAFA"/>
      <rgbColor rgb="FF6B21C8"/>
      <rgbColor rgb="FFFFF8E1"/>
      <rgbColor rgb="FFF5F5F5"/>
      <rgbColor rgb="FF0277BD"/>
      <rgbColor rgb="FF5A2B6A"/>
      <rgbColor rgb="FF1B5E20"/>
      <rgbColor rgb="FF0D47A1"/>
      <rgbColor rgb="FF558B2F"/>
      <rgbColor rgb="FF880E4F"/>
      <rgbColor rgb="FF007B7F"/>
      <rgbColor rgb="FFCCCCCC"/>
      <rgbColor rgb="FF316296"/>
      <rgbColor rgb="FFB2DFDB"/>
      <rgbColor rgb="FF9B5523"/>
      <rgbColor rgb="FFFFF9C4"/>
      <rgbColor rgb="FFE0F2F1"/>
      <rgbColor rgb="FF4A235A"/>
      <rgbColor rgb="FFE8EAF6"/>
      <rgbColor rgb="FF1565C0"/>
      <rgbColor rgb="FFC5CAE9"/>
      <rgbColor rgb="FF37474F"/>
      <rgbColor rgb="FFFAFAFA"/>
      <rgbColor rgb="FFFFEBEE"/>
      <rgbColor rgb="FFEEEEEE"/>
      <rgbColor rgb="FF6A1B9A"/>
      <rgbColor rgb="FF594B41"/>
      <rgbColor rgb="FF008D7F"/>
      <rgbColor rgb="FF7B31D8"/>
      <rgbColor rgb="FF00B5A5"/>
      <rgbColor rgb="FFE3F2FD"/>
      <rgbColor rgb="FFE8F5E9"/>
      <rgbColor rgb="FFFFF59D"/>
      <rgbColor rgb="FFBBDEFB"/>
      <rgbColor rgb="FFF3E5F5"/>
      <rgbColor rgb="FFEDE7F6"/>
      <rgbColor rgb="FFFFF176"/>
      <rgbColor rgb="FF1976D2"/>
      <rgbColor rgb="FF00C853"/>
      <rgbColor rgb="FFB2EBE0"/>
      <rgbColor rgb="FFFFD600"/>
      <rgbColor rgb="FFE65100"/>
      <rgbColor rgb="FFFF6D00"/>
      <rgbColor rgb="FF5C5C9A"/>
      <rgbColor rgb="FFA5D6A7"/>
      <rgbColor rgb="FF1A237E"/>
      <rgbColor rgb="FF2E7D32"/>
      <rgbColor rgb="FF004D40"/>
      <rgbColor rgb="FF4E342E"/>
      <rgbColor rgb="FF8B4513"/>
      <rgbColor rgb="FFB71C1C"/>
      <rgbColor rgb="FF3C49A0"/>
      <rgbColor rgb="FF2C2D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186691</xdr:colOff>
      <xdr:row>0</xdr:row>
      <xdr:rowOff>0</xdr:rowOff>
    </xdr:from>
    <xdr:to>
      <xdr:col>22</xdr:col>
      <xdr:colOff>758428</xdr:colOff>
      <xdr:row>2</xdr:row>
      <xdr:rowOff>17144</xdr:rowOff>
    </xdr:to>
    <xdr:pic macro="[0]!GerarRelatorioCliente">
      <xdr:nvPicPr>
        <xdr:cNvPr id="2" name="Gráfico 1" descr="Documento com preenchimento sóli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46141" y="0"/>
          <a:ext cx="571737" cy="561974"/>
        </a:xfrm>
        <a:prstGeom prst="rect">
          <a:avLst/>
        </a:prstGeom>
        <a:ln>
          <a:prstDash val="solid"/>
        </a:ln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paulo.cavalcanti@pmaiseventos.com" TargetMode="External"/><Relationship Id="rId2" Type="http://schemas.openxmlformats.org/officeDocument/2006/relationships/hyperlink" Target="mailto:joao.henrique@pmaiseventos.com" TargetMode="External"/><Relationship Id="rId1" Type="http://schemas.openxmlformats.org/officeDocument/2006/relationships/hyperlink" Target="mailto:paulo.cavalcanti@pmaisevento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A126"/>
  <sheetViews>
    <sheetView showGridLines="0" tabSelected="1" zoomScaleNormal="100" workbookViewId="0">
      <pane xSplit="2" ySplit="8" topLeftCell="N9" activePane="bottomRight" state="frozen"/>
      <selection pane="topRight" activeCell="C1" sqref="C1"/>
      <selection pane="bottomLeft" activeCell="A9" sqref="A9"/>
      <selection pane="bottomRight" activeCell="T15" sqref="T15"/>
    </sheetView>
  </sheetViews>
  <sheetFormatPr defaultColWidth="27.88671875" defaultRowHeight="14.4" x14ac:dyDescent="0.3"/>
  <cols>
    <col min="1" max="1" width="26" bestFit="1" customWidth="1"/>
    <col min="2" max="2" width="27.109375" customWidth="1"/>
    <col min="3" max="3" width="8.77734375" bestFit="1" customWidth="1"/>
    <col min="4" max="4" width="4.109375" bestFit="1" customWidth="1"/>
    <col min="5" max="5" width="19.6640625" bestFit="1" customWidth="1"/>
    <col min="6" max="6" width="11.5546875" customWidth="1"/>
    <col min="7" max="7" width="9.21875" customWidth="1"/>
    <col min="8" max="8" width="4.109375" bestFit="1" customWidth="1"/>
    <col min="9" max="9" width="10.44140625" bestFit="1" customWidth="1"/>
    <col min="10" max="10" width="17.33203125" bestFit="1" customWidth="1"/>
    <col min="11" max="11" width="19.6640625" bestFit="1" customWidth="1"/>
    <col min="12" max="12" width="4.109375" bestFit="1" customWidth="1"/>
    <col min="13" max="13" width="7.6640625" bestFit="1" customWidth="1"/>
    <col min="14" max="14" width="8" bestFit="1" customWidth="1"/>
    <col min="15" max="15" width="19.6640625" bestFit="1" customWidth="1"/>
    <col min="16" max="16" width="7.77734375" bestFit="1" customWidth="1"/>
    <col min="17" max="17" width="6.88671875" bestFit="1" customWidth="1"/>
    <col min="18" max="18" width="7.77734375" bestFit="1" customWidth="1"/>
    <col min="19" max="19" width="11.6640625" customWidth="1"/>
    <col min="20" max="20" width="19.6640625" bestFit="1" customWidth="1"/>
    <col min="21" max="21" width="9.5546875" bestFit="1" customWidth="1"/>
    <col min="22" max="22" width="8" bestFit="1" customWidth="1"/>
    <col min="23" max="23" width="12.21875" bestFit="1" customWidth="1"/>
    <col min="24" max="24" width="8.33203125" bestFit="1" customWidth="1"/>
    <col min="25" max="25" width="9" bestFit="1" customWidth="1"/>
    <col min="26" max="26" width="7.33203125" bestFit="1" customWidth="1"/>
    <col min="27" max="27" width="7.21875" customWidth="1"/>
  </cols>
  <sheetData>
    <row r="1" spans="1:27" ht="24.6" customHeight="1" x14ac:dyDescent="0.3">
      <c r="A1" s="123" t="e" vm="1">
        <v>#VALUE!</v>
      </c>
      <c r="B1" s="110"/>
      <c r="C1" s="116" t="s">
        <v>0</v>
      </c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X1" s="109" t="s">
        <v>1</v>
      </c>
      <c r="Y1" s="110"/>
      <c r="Z1" s="110"/>
      <c r="AA1" s="110"/>
    </row>
    <row r="2" spans="1:27" ht="18" customHeight="1" x14ac:dyDescent="0.3">
      <c r="A2" s="124"/>
      <c r="B2" s="124"/>
      <c r="X2" s="117" t="s">
        <v>2</v>
      </c>
      <c r="Y2" s="110"/>
      <c r="Z2" s="110"/>
      <c r="AA2" s="110"/>
    </row>
    <row r="3" spans="1:27" x14ac:dyDescent="0.3">
      <c r="A3" s="120" t="s">
        <v>3</v>
      </c>
      <c r="B3" s="121"/>
      <c r="C3" s="142"/>
      <c r="D3" s="110"/>
      <c r="E3" s="110"/>
      <c r="F3" s="112" t="s">
        <v>4</v>
      </c>
      <c r="G3" s="113"/>
      <c r="H3" s="140"/>
      <c r="I3" s="110"/>
      <c r="J3" s="110"/>
      <c r="K3" s="115"/>
      <c r="L3" s="110"/>
      <c r="M3" s="110"/>
      <c r="N3" s="110"/>
    </row>
    <row r="4" spans="1:27" x14ac:dyDescent="0.3">
      <c r="A4" s="120" t="s">
        <v>5</v>
      </c>
      <c r="B4" s="121"/>
      <c r="C4" s="142"/>
      <c r="D4" s="110"/>
      <c r="E4" s="110"/>
      <c r="F4" s="112" t="s">
        <v>6</v>
      </c>
      <c r="G4" s="113"/>
      <c r="H4" s="140"/>
      <c r="I4" s="110"/>
      <c r="J4" s="110"/>
      <c r="K4" s="115"/>
      <c r="L4" s="110"/>
      <c r="M4" s="110"/>
      <c r="N4" s="110"/>
    </row>
    <row r="5" spans="1:27" x14ac:dyDescent="0.3">
      <c r="A5" s="120" t="s">
        <v>7</v>
      </c>
      <c r="B5" s="121"/>
      <c r="C5" s="146"/>
      <c r="D5" s="110"/>
      <c r="E5" s="110"/>
      <c r="F5" s="112" t="s">
        <v>8</v>
      </c>
      <c r="G5" s="113"/>
      <c r="H5" s="119"/>
      <c r="I5" s="110"/>
      <c r="J5" s="110"/>
      <c r="K5" s="115"/>
      <c r="L5" s="110"/>
      <c r="M5" s="110"/>
      <c r="N5" s="110"/>
    </row>
    <row r="6" spans="1:27" ht="15" customHeight="1" thickBo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7" x14ac:dyDescent="0.3">
      <c r="A7" s="149" t="s">
        <v>9</v>
      </c>
      <c r="B7" s="149" t="s">
        <v>10</v>
      </c>
      <c r="C7" s="152" t="s">
        <v>11</v>
      </c>
      <c r="D7" s="108"/>
      <c r="E7" s="108"/>
      <c r="F7" s="108"/>
      <c r="G7" s="168" t="s">
        <v>12</v>
      </c>
      <c r="H7" s="108"/>
      <c r="I7" s="108"/>
      <c r="J7" s="108"/>
      <c r="K7" s="153" t="s">
        <v>13</v>
      </c>
      <c r="L7" s="108"/>
      <c r="M7" s="108"/>
      <c r="N7" s="108"/>
      <c r="O7" s="165" t="s">
        <v>14</v>
      </c>
      <c r="P7" s="108"/>
      <c r="Q7" s="108"/>
      <c r="R7" s="108"/>
      <c r="S7" s="108"/>
      <c r="T7" s="148" t="s">
        <v>15</v>
      </c>
      <c r="U7" s="108"/>
      <c r="V7" s="108"/>
      <c r="W7" s="108"/>
      <c r="X7" s="114" t="s">
        <v>16</v>
      </c>
      <c r="Y7" s="108"/>
      <c r="Z7" s="154" t="s">
        <v>17</v>
      </c>
    </row>
    <row r="8" spans="1:27" ht="29.4" customHeight="1" x14ac:dyDescent="0.3">
      <c r="A8" s="150"/>
      <c r="B8" s="150"/>
      <c r="C8" s="2" t="s">
        <v>18</v>
      </c>
      <c r="D8" s="2" t="s">
        <v>19</v>
      </c>
      <c r="E8" s="2" t="s">
        <v>20</v>
      </c>
      <c r="F8" s="2" t="s">
        <v>21</v>
      </c>
      <c r="G8" s="3" t="s">
        <v>18</v>
      </c>
      <c r="H8" s="3" t="s">
        <v>19</v>
      </c>
      <c r="I8" s="3" t="s">
        <v>20</v>
      </c>
      <c r="J8" s="3" t="s">
        <v>21</v>
      </c>
      <c r="K8" s="4" t="s">
        <v>18</v>
      </c>
      <c r="L8" s="4" t="s">
        <v>19</v>
      </c>
      <c r="M8" s="4" t="s">
        <v>20</v>
      </c>
      <c r="N8" s="4" t="s">
        <v>21</v>
      </c>
      <c r="O8" s="5" t="s">
        <v>22</v>
      </c>
      <c r="P8" s="5" t="s">
        <v>23</v>
      </c>
      <c r="Q8" s="5" t="s">
        <v>24</v>
      </c>
      <c r="R8" s="5" t="s">
        <v>25</v>
      </c>
      <c r="S8" s="5" t="s">
        <v>26</v>
      </c>
      <c r="T8" s="6" t="s">
        <v>27</v>
      </c>
      <c r="U8" s="6" t="s">
        <v>28</v>
      </c>
      <c r="V8" s="6" t="s">
        <v>29</v>
      </c>
      <c r="W8" s="6" t="s">
        <v>30</v>
      </c>
      <c r="X8" s="7" t="s">
        <v>31</v>
      </c>
      <c r="Y8" s="7" t="s">
        <v>32</v>
      </c>
      <c r="Z8" s="155"/>
    </row>
    <row r="9" spans="1:27" x14ac:dyDescent="0.3">
      <c r="A9" s="127" t="s">
        <v>33</v>
      </c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</row>
    <row r="10" spans="1:27" x14ac:dyDescent="0.3">
      <c r="A10" s="8" t="s">
        <v>34</v>
      </c>
      <c r="B10" s="9"/>
      <c r="C10" s="10"/>
      <c r="D10" s="10"/>
      <c r="E10" s="11"/>
      <c r="F10" s="12">
        <f>IF(OR(C10="",D10="",E10=""),0,C10*D10*E10)</f>
        <v>0</v>
      </c>
      <c r="G10" s="13"/>
      <c r="H10" s="13"/>
      <c r="I10" s="14"/>
      <c r="J10" s="15">
        <f>IF(OR(G10="",H10="",I10=""),0,G10*H10*I10)</f>
        <v>0</v>
      </c>
      <c r="K10" s="16"/>
      <c r="L10" s="16"/>
      <c r="M10" s="17"/>
      <c r="N10" s="18">
        <f>IF(OR(K10="",L10="",M10=""),0,K10*L10*M10)</f>
        <v>0</v>
      </c>
      <c r="O10" s="19"/>
      <c r="P10" s="20"/>
      <c r="Q10" s="20"/>
      <c r="R10" s="20"/>
      <c r="S10" s="20"/>
      <c r="T10" s="21"/>
      <c r="U10" s="22"/>
      <c r="V10" s="23"/>
      <c r="W10" s="24"/>
      <c r="X10" s="25"/>
      <c r="Y10" s="26"/>
      <c r="Z10" s="27">
        <f>IF(N10=0,0,N10-IF(V10="",0,V10))</f>
        <v>0</v>
      </c>
    </row>
    <row r="11" spans="1:27" x14ac:dyDescent="0.3">
      <c r="A11" s="8" t="s">
        <v>35</v>
      </c>
      <c r="B11" s="9"/>
      <c r="C11" s="10"/>
      <c r="D11" s="10"/>
      <c r="E11" s="11"/>
      <c r="F11" s="12">
        <f>IF(OR(C11="",D11="",E11=""),0,C11*D11*E11)</f>
        <v>0</v>
      </c>
      <c r="G11" s="13"/>
      <c r="H11" s="13"/>
      <c r="I11" s="14"/>
      <c r="J11" s="15">
        <f>IF(OR(G11="",H11="",I11=""),0,G11*H11*I11)</f>
        <v>0</v>
      </c>
      <c r="K11" s="16"/>
      <c r="L11" s="16"/>
      <c r="M11" s="17"/>
      <c r="N11" s="18">
        <f>IF(OR(K11="",L11="",M11=""),0,K11*L11*M11)</f>
        <v>0</v>
      </c>
      <c r="O11" s="19"/>
      <c r="P11" s="20"/>
      <c r="Q11" s="20"/>
      <c r="R11" s="20"/>
      <c r="S11" s="20"/>
      <c r="T11" s="21"/>
      <c r="U11" s="22"/>
      <c r="V11" s="23"/>
      <c r="W11" s="24"/>
      <c r="X11" s="25"/>
      <c r="Y11" s="26"/>
      <c r="Z11" s="27">
        <f>IF(N11=0,0,N11-IF(V11="",0,V11))</f>
        <v>0</v>
      </c>
    </row>
    <row r="12" spans="1:27" x14ac:dyDescent="0.3">
      <c r="A12" s="118" t="s">
        <v>36</v>
      </c>
      <c r="B12" s="108"/>
      <c r="C12" s="28"/>
      <c r="D12" s="28"/>
      <c r="E12" s="28"/>
      <c r="F12" s="29">
        <f>SUM(F10:F11)</f>
        <v>0</v>
      </c>
      <c r="G12" s="28"/>
      <c r="H12" s="28"/>
      <c r="I12" s="28"/>
      <c r="J12" s="30">
        <f>SUM(J10:J11)</f>
        <v>0</v>
      </c>
      <c r="K12" s="28"/>
      <c r="L12" s="28"/>
      <c r="M12" s="28"/>
      <c r="N12" s="31">
        <f>SUM(N10:N11)</f>
        <v>0</v>
      </c>
      <c r="O12" s="28"/>
      <c r="P12" s="28"/>
      <c r="Q12" s="28"/>
      <c r="R12" s="28"/>
      <c r="S12" s="28"/>
      <c r="T12" s="28"/>
      <c r="U12" s="28"/>
      <c r="V12" s="32">
        <f>SUM(V10:V11)</f>
        <v>0</v>
      </c>
      <c r="W12" s="28"/>
      <c r="X12" s="33">
        <f>SUM(X10:X11)</f>
        <v>0</v>
      </c>
      <c r="Y12" s="28"/>
      <c r="Z12" s="34">
        <f>SUM(Z10:Z11)</f>
        <v>0</v>
      </c>
    </row>
    <row r="14" spans="1:27" x14ac:dyDescent="0.3">
      <c r="A14" s="144" t="s">
        <v>37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</row>
    <row r="15" spans="1:27" x14ac:dyDescent="0.3">
      <c r="A15" s="8" t="s">
        <v>38</v>
      </c>
      <c r="B15" s="9"/>
      <c r="C15" s="10"/>
      <c r="D15" s="10"/>
      <c r="E15" s="11"/>
      <c r="F15" s="12">
        <f>IF(OR(C15="",D15="",E15=""),0,C15*D15*E15)</f>
        <v>0</v>
      </c>
      <c r="G15" s="13"/>
      <c r="H15" s="13"/>
      <c r="I15" s="14"/>
      <c r="J15" s="15">
        <f>IF(OR(G15="",H15="",I15=""),0,G15*H15*I15)</f>
        <v>0</v>
      </c>
      <c r="K15" s="16"/>
      <c r="L15" s="16"/>
      <c r="M15" s="17"/>
      <c r="N15" s="18">
        <f>IF(OR(K15="",L15="",M15=""),0,K15*L15*M15)</f>
        <v>0</v>
      </c>
      <c r="O15" s="19" t="s">
        <v>130</v>
      </c>
      <c r="P15" s="20"/>
      <c r="Q15" s="20"/>
      <c r="R15" s="20"/>
      <c r="S15" s="20"/>
      <c r="T15" s="21" t="s">
        <v>138</v>
      </c>
      <c r="U15" s="22"/>
      <c r="V15" s="23"/>
      <c r="W15" s="24"/>
      <c r="X15" s="25"/>
      <c r="Y15" s="26"/>
      <c r="Z15" s="27">
        <f>IF(N15=0,0,N15-IF(V15="",0,V15))</f>
        <v>0</v>
      </c>
    </row>
    <row r="16" spans="1:27" x14ac:dyDescent="0.3">
      <c r="A16" s="8" t="s">
        <v>39</v>
      </c>
      <c r="B16" s="9"/>
      <c r="C16" s="10"/>
      <c r="D16" s="10"/>
      <c r="E16" s="11"/>
      <c r="F16" s="12">
        <f>IF(OR(C16="",D16="",E16=""),0,C16*D16*E16)</f>
        <v>0</v>
      </c>
      <c r="G16" s="13"/>
      <c r="H16" s="13"/>
      <c r="I16" s="14"/>
      <c r="J16" s="15">
        <f>IF(OR(G16="",H16="",I16=""),0,G16*H16*I16)</f>
        <v>0</v>
      </c>
      <c r="K16" s="16"/>
      <c r="L16" s="16"/>
      <c r="M16" s="17"/>
      <c r="N16" s="18">
        <f>IF(OR(K16="",L16="",M16=""),0,K16*L16*M16)</f>
        <v>0</v>
      </c>
      <c r="O16" s="19"/>
      <c r="P16" s="20"/>
      <c r="Q16" s="20"/>
      <c r="R16" s="20"/>
      <c r="S16" s="20"/>
      <c r="T16" s="21"/>
      <c r="U16" s="22"/>
      <c r="V16" s="23"/>
      <c r="W16" s="24"/>
      <c r="X16" s="25"/>
      <c r="Y16" s="26"/>
      <c r="Z16" s="27">
        <f>IF(N16=0,0,N16-IF(V16="",0,V16))</f>
        <v>0</v>
      </c>
    </row>
    <row r="17" spans="1:26" x14ac:dyDescent="0.3">
      <c r="A17" s="8" t="s">
        <v>40</v>
      </c>
      <c r="B17" s="9"/>
      <c r="C17" s="10"/>
      <c r="D17" s="10"/>
      <c r="E17" s="11"/>
      <c r="F17" s="12">
        <f>IF(OR(C17="",D17="",E17=""),0,C17*D17*E17)</f>
        <v>0</v>
      </c>
      <c r="G17" s="13"/>
      <c r="H17" s="13"/>
      <c r="I17" s="14"/>
      <c r="J17" s="15">
        <f>IF(OR(G17="",H17="",I17=""),0,G17*H17*I17)</f>
        <v>0</v>
      </c>
      <c r="K17" s="16"/>
      <c r="L17" s="16"/>
      <c r="M17" s="17"/>
      <c r="N17" s="18">
        <f>IF(OR(K17="",L17="",M17=""),0,K17*L17*M17)</f>
        <v>0</v>
      </c>
      <c r="O17" s="19"/>
      <c r="P17" s="20"/>
      <c r="Q17" s="20"/>
      <c r="R17" s="20"/>
      <c r="S17" s="20"/>
      <c r="T17" s="21"/>
      <c r="U17" s="22"/>
      <c r="V17" s="23"/>
      <c r="W17" s="24"/>
      <c r="X17" s="25"/>
      <c r="Y17" s="26"/>
      <c r="Z17" s="27">
        <f>IF(N17=0,0,N17-IF(V17="",0,V17))</f>
        <v>0</v>
      </c>
    </row>
    <row r="18" spans="1:26" x14ac:dyDescent="0.3">
      <c r="A18" s="141" t="s">
        <v>41</v>
      </c>
      <c r="B18" s="108"/>
      <c r="C18" s="28"/>
      <c r="D18" s="28"/>
      <c r="E18" s="28"/>
      <c r="F18" s="29">
        <f>SUM(F15:F17)</f>
        <v>0</v>
      </c>
      <c r="G18" s="28"/>
      <c r="H18" s="28"/>
      <c r="I18" s="28"/>
      <c r="J18" s="30">
        <f>SUM(J15:J17)</f>
        <v>0</v>
      </c>
      <c r="K18" s="28"/>
      <c r="L18" s="28"/>
      <c r="M18" s="28"/>
      <c r="N18" s="31">
        <f>SUM(N15:N17)</f>
        <v>0</v>
      </c>
      <c r="O18" s="28"/>
      <c r="P18" s="28"/>
      <c r="Q18" s="28"/>
      <c r="R18" s="28"/>
      <c r="S18" s="28"/>
      <c r="T18" s="28"/>
      <c r="U18" s="28"/>
      <c r="V18" s="32">
        <f>SUM(V15:V17)</f>
        <v>0</v>
      </c>
      <c r="W18" s="28"/>
      <c r="X18" s="33">
        <f>SUM(X15:X17)</f>
        <v>0</v>
      </c>
      <c r="Y18" s="28"/>
      <c r="Z18" s="34">
        <f>SUM(Z15:Z17)</f>
        <v>0</v>
      </c>
    </row>
    <row r="19" spans="1:26" ht="15" thickBot="1" x14ac:dyDescent="0.35"/>
    <row r="20" spans="1:26" ht="15" thickBot="1" x14ac:dyDescent="0.35">
      <c r="A20" s="159" t="s">
        <v>42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</row>
    <row r="21" spans="1:26" x14ac:dyDescent="0.3">
      <c r="A21" s="8" t="s">
        <v>43</v>
      </c>
      <c r="B21" s="9"/>
      <c r="C21" s="10"/>
      <c r="D21" s="10"/>
      <c r="E21" s="11"/>
      <c r="F21" s="12">
        <f>IF(OR(C21="",D21="",E21=""),0,C21*D21*E21)</f>
        <v>0</v>
      </c>
      <c r="G21" s="13"/>
      <c r="H21" s="13"/>
      <c r="I21" s="14"/>
      <c r="J21" s="15">
        <f>IF(OR(G21="",H21="",I21=""),0,G21*H21*I21)</f>
        <v>0</v>
      </c>
      <c r="K21" s="16"/>
      <c r="L21" s="16"/>
      <c r="M21" s="17"/>
      <c r="N21" s="18">
        <f>IF(OR(K21="",L21="",M21=""),0,K21*L21*M21)</f>
        <v>0</v>
      </c>
      <c r="O21" s="19"/>
      <c r="P21" s="20"/>
      <c r="Q21" s="20"/>
      <c r="R21" s="20"/>
      <c r="S21" s="20"/>
      <c r="T21" s="21"/>
      <c r="U21" s="22"/>
      <c r="V21" s="23"/>
      <c r="W21" s="24"/>
      <c r="X21" s="25"/>
      <c r="Y21" s="26"/>
      <c r="Z21" s="27">
        <f>IF(N21=0,0,N21-IF(V21="",0,V21))</f>
        <v>0</v>
      </c>
    </row>
    <row r="22" spans="1:26" x14ac:dyDescent="0.3">
      <c r="A22" s="8" t="s">
        <v>44</v>
      </c>
      <c r="B22" s="9"/>
      <c r="C22" s="10"/>
      <c r="D22" s="10"/>
      <c r="E22" s="11"/>
      <c r="F22" s="12">
        <f>IF(OR(C22="",D22="",E22=""),0,C22*D22*E22)</f>
        <v>0</v>
      </c>
      <c r="G22" s="13"/>
      <c r="H22" s="13"/>
      <c r="I22" s="14"/>
      <c r="J22" s="15">
        <f>IF(OR(G22="",H22="",I22=""),0,G22*H22*I22)</f>
        <v>0</v>
      </c>
      <c r="K22" s="16"/>
      <c r="L22" s="16"/>
      <c r="M22" s="17"/>
      <c r="N22" s="18">
        <f>IF(OR(K22="",L22="",M22=""),0,K22*L22*M22)</f>
        <v>0</v>
      </c>
      <c r="O22" s="19"/>
      <c r="P22" s="20"/>
      <c r="Q22" s="20"/>
      <c r="R22" s="20"/>
      <c r="S22" s="20"/>
      <c r="T22" s="21"/>
      <c r="U22" s="22"/>
      <c r="V22" s="23"/>
      <c r="W22" s="24"/>
      <c r="X22" s="25"/>
      <c r="Y22" s="26"/>
      <c r="Z22" s="27">
        <f>IF(N22=0,0,N22-IF(V22="",0,V22))</f>
        <v>0</v>
      </c>
    </row>
    <row r="23" spans="1:26" x14ac:dyDescent="0.3">
      <c r="A23" s="8" t="s">
        <v>45</v>
      </c>
      <c r="B23" s="9"/>
      <c r="C23" s="10"/>
      <c r="D23" s="10"/>
      <c r="E23" s="11"/>
      <c r="F23" s="12">
        <f>IF(OR(C23="",D23="",E23=""),0,C23*D23*E23)</f>
        <v>0</v>
      </c>
      <c r="G23" s="13"/>
      <c r="H23" s="13"/>
      <c r="I23" s="14"/>
      <c r="J23" s="15">
        <f>IF(OR(G23="",H23="",I23=""),0,G23*H23*I23)</f>
        <v>0</v>
      </c>
      <c r="K23" s="16"/>
      <c r="L23" s="16"/>
      <c r="M23" s="17"/>
      <c r="N23" s="18">
        <f>IF(OR(K23="",L23="",M23=""),0,K23*L23*M23)</f>
        <v>0</v>
      </c>
      <c r="O23" s="19"/>
      <c r="P23" s="20"/>
      <c r="Q23" s="20"/>
      <c r="R23" s="20"/>
      <c r="S23" s="20"/>
      <c r="T23" s="21"/>
      <c r="U23" s="22"/>
      <c r="V23" s="23"/>
      <c r="W23" s="24"/>
      <c r="X23" s="25"/>
      <c r="Y23" s="26"/>
      <c r="Z23" s="27">
        <f>IF(N23=0,0,N23-IF(V23="",0,V23))</f>
        <v>0</v>
      </c>
    </row>
    <row r="24" spans="1:26" x14ac:dyDescent="0.3">
      <c r="A24" s="125" t="s">
        <v>46</v>
      </c>
      <c r="B24" s="108"/>
      <c r="C24" s="28"/>
      <c r="D24" s="28"/>
      <c r="E24" s="28"/>
      <c r="F24" s="29">
        <f>SUM(F21:F23)</f>
        <v>0</v>
      </c>
      <c r="G24" s="28"/>
      <c r="H24" s="28"/>
      <c r="I24" s="28"/>
      <c r="J24" s="30">
        <f>SUM(J21:J23)</f>
        <v>0</v>
      </c>
      <c r="K24" s="28"/>
      <c r="L24" s="28"/>
      <c r="M24" s="28"/>
      <c r="N24" s="31">
        <f>SUM(N21:N23)</f>
        <v>0</v>
      </c>
      <c r="O24" s="28"/>
      <c r="P24" s="28"/>
      <c r="Q24" s="28"/>
      <c r="R24" s="28"/>
      <c r="S24" s="28"/>
      <c r="T24" s="28"/>
      <c r="U24" s="28"/>
      <c r="V24" s="32">
        <f>SUM(V21:V23)</f>
        <v>0</v>
      </c>
      <c r="W24" s="28"/>
      <c r="X24" s="33">
        <f>SUM(X21:X23)</f>
        <v>0</v>
      </c>
      <c r="Y24" s="28"/>
      <c r="Z24" s="34">
        <f>SUM(Z21:Z23)</f>
        <v>0</v>
      </c>
    </row>
    <row r="26" spans="1:26" x14ac:dyDescent="0.3">
      <c r="A26" s="169" t="s">
        <v>47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</row>
    <row r="27" spans="1:26" x14ac:dyDescent="0.3">
      <c r="A27" s="8" t="s">
        <v>48</v>
      </c>
      <c r="B27" s="9"/>
      <c r="C27" s="10"/>
      <c r="D27" s="10"/>
      <c r="E27" s="11"/>
      <c r="F27" s="12">
        <f>IF(OR(C27="",D27="",E27=""),0,C27*D27*E27)</f>
        <v>0</v>
      </c>
      <c r="G27" s="13"/>
      <c r="H27" s="13"/>
      <c r="I27" s="14"/>
      <c r="J27" s="15">
        <f>IF(OR(G27="",H27="",I27=""),0,G27*H27*I27)</f>
        <v>0</v>
      </c>
      <c r="K27" s="16"/>
      <c r="L27" s="16"/>
      <c r="M27" s="17"/>
      <c r="N27" s="18">
        <f>IF(OR(K27="",L27="",M27=""),0,K27*L27*M27)</f>
        <v>0</v>
      </c>
      <c r="O27" s="19"/>
      <c r="P27" s="20"/>
      <c r="Q27" s="20"/>
      <c r="R27" s="20"/>
      <c r="S27" s="20"/>
      <c r="T27" s="21"/>
      <c r="U27" s="22"/>
      <c r="V27" s="23"/>
      <c r="W27" s="24"/>
      <c r="X27" s="25"/>
      <c r="Y27" s="26"/>
      <c r="Z27" s="27">
        <f>IF(N27=0,0,N27-IF(V27="",0,V27))</f>
        <v>0</v>
      </c>
    </row>
    <row r="28" spans="1:26" x14ac:dyDescent="0.3">
      <c r="A28" s="8" t="s">
        <v>49</v>
      </c>
      <c r="B28" s="9"/>
      <c r="C28" s="10"/>
      <c r="D28" s="10"/>
      <c r="E28" s="11"/>
      <c r="F28" s="12">
        <f>IF(OR(C28="",D28="",E28=""),0,C28*D28*E28)</f>
        <v>0</v>
      </c>
      <c r="G28" s="13"/>
      <c r="H28" s="13"/>
      <c r="I28" s="14"/>
      <c r="J28" s="15">
        <f>IF(OR(G28="",H28="",I28=""),0,G28*H28*I28)</f>
        <v>0</v>
      </c>
      <c r="K28" s="16"/>
      <c r="L28" s="16"/>
      <c r="M28" s="17"/>
      <c r="N28" s="18">
        <f>IF(OR(K28="",L28="",M28=""),0,K28*L28*M28)</f>
        <v>0</v>
      </c>
      <c r="O28" s="19"/>
      <c r="P28" s="20"/>
      <c r="Q28" s="20"/>
      <c r="R28" s="20"/>
      <c r="S28" s="20"/>
      <c r="T28" s="21"/>
      <c r="U28" s="22"/>
      <c r="V28" s="23"/>
      <c r="W28" s="24"/>
      <c r="X28" s="25"/>
      <c r="Y28" s="26"/>
      <c r="Z28" s="27">
        <f>IF(N28=0,0,N28-IF(V28="",0,V28))</f>
        <v>0</v>
      </c>
    </row>
    <row r="29" spans="1:26" x14ac:dyDescent="0.3">
      <c r="A29" s="8" t="s">
        <v>50</v>
      </c>
      <c r="B29" s="9"/>
      <c r="C29" s="10"/>
      <c r="D29" s="10"/>
      <c r="E29" s="11"/>
      <c r="F29" s="12">
        <f>IF(OR(C29="",D29="",E29=""),0,C29*D29*E29)</f>
        <v>0</v>
      </c>
      <c r="G29" s="13"/>
      <c r="H29" s="13"/>
      <c r="I29" s="14"/>
      <c r="J29" s="15">
        <f>IF(OR(G29="",H29="",I29=""),0,G29*H29*I29)</f>
        <v>0</v>
      </c>
      <c r="K29" s="16"/>
      <c r="L29" s="16"/>
      <c r="M29" s="17"/>
      <c r="N29" s="18">
        <f>IF(OR(K29="",L29="",M29=""),0,K29*L29*M29)</f>
        <v>0</v>
      </c>
      <c r="O29" s="19"/>
      <c r="P29" s="20"/>
      <c r="Q29" s="20"/>
      <c r="R29" s="20"/>
      <c r="S29" s="20"/>
      <c r="T29" s="21"/>
      <c r="U29" s="22"/>
      <c r="V29" s="23"/>
      <c r="W29" s="24"/>
      <c r="X29" s="25"/>
      <c r="Y29" s="26"/>
      <c r="Z29" s="27">
        <f>IF(N29=0,0,N29-IF(V29="",0,V29))</f>
        <v>0</v>
      </c>
    </row>
    <row r="30" spans="1:26" x14ac:dyDescent="0.3">
      <c r="A30" s="8" t="s">
        <v>51</v>
      </c>
      <c r="B30" s="9"/>
      <c r="C30" s="10"/>
      <c r="D30" s="10"/>
      <c r="E30" s="11"/>
      <c r="F30" s="12">
        <f>IF(OR(C30="",D30="",E30=""),0,C30*D30*E30)</f>
        <v>0</v>
      </c>
      <c r="G30" s="13"/>
      <c r="H30" s="13"/>
      <c r="I30" s="14"/>
      <c r="J30" s="15">
        <f>IF(OR(G30="",H30="",I30=""),0,G30*H30*I30)</f>
        <v>0</v>
      </c>
      <c r="K30" s="16"/>
      <c r="L30" s="16"/>
      <c r="M30" s="17"/>
      <c r="N30" s="18">
        <f>IF(OR(K30="",L30="",M30=""),0,K30*L30*M30)</f>
        <v>0</v>
      </c>
      <c r="O30" s="19"/>
      <c r="P30" s="20"/>
      <c r="Q30" s="20"/>
      <c r="R30" s="20"/>
      <c r="S30" s="20"/>
      <c r="T30" s="21"/>
      <c r="U30" s="22"/>
      <c r="V30" s="23"/>
      <c r="W30" s="24"/>
      <c r="X30" s="25"/>
      <c r="Y30" s="26"/>
      <c r="Z30" s="27">
        <f>IF(N30=0,0,N30-IF(V30="",0,V30))</f>
        <v>0</v>
      </c>
    </row>
    <row r="31" spans="1:26" x14ac:dyDescent="0.3">
      <c r="A31" s="8" t="s">
        <v>52</v>
      </c>
      <c r="B31" s="9"/>
      <c r="C31" s="10"/>
      <c r="D31" s="10"/>
      <c r="E31" s="11"/>
      <c r="F31" s="12">
        <f>IF(OR(C31="",D31="",E31=""),0,C31*D31*E31)</f>
        <v>0</v>
      </c>
      <c r="G31" s="13"/>
      <c r="H31" s="13"/>
      <c r="I31" s="14"/>
      <c r="J31" s="15">
        <f>IF(OR(G31="",H31="",I31=""),0,G31*H31*I31)</f>
        <v>0</v>
      </c>
      <c r="K31" s="16"/>
      <c r="L31" s="16"/>
      <c r="M31" s="17"/>
      <c r="N31" s="18">
        <f>IF(OR(K31="",L31="",M31=""),0,K31*L31*M31)</f>
        <v>0</v>
      </c>
      <c r="O31" s="19"/>
      <c r="P31" s="20"/>
      <c r="Q31" s="20"/>
      <c r="R31" s="20"/>
      <c r="S31" s="20"/>
      <c r="T31" s="21"/>
      <c r="U31" s="22"/>
      <c r="V31" s="23"/>
      <c r="W31" s="24"/>
      <c r="X31" s="25"/>
      <c r="Y31" s="26"/>
      <c r="Z31" s="27">
        <f>IF(N31=0,0,N31-IF(V31="",0,V31))</f>
        <v>0</v>
      </c>
    </row>
    <row r="32" spans="1:26" x14ac:dyDescent="0.3">
      <c r="A32" s="122" t="s">
        <v>53</v>
      </c>
      <c r="B32" s="108"/>
      <c r="C32" s="28"/>
      <c r="D32" s="28"/>
      <c r="E32" s="28"/>
      <c r="F32" s="29">
        <f>SUM(F27:F31)</f>
        <v>0</v>
      </c>
      <c r="G32" s="28"/>
      <c r="H32" s="28"/>
      <c r="I32" s="28"/>
      <c r="J32" s="30">
        <f>SUM(J27:J31)</f>
        <v>0</v>
      </c>
      <c r="K32" s="28"/>
      <c r="L32" s="28"/>
      <c r="M32" s="28"/>
      <c r="N32" s="31">
        <f>SUM(N27:N31)</f>
        <v>0</v>
      </c>
      <c r="O32" s="28"/>
      <c r="P32" s="28"/>
      <c r="Q32" s="28"/>
      <c r="R32" s="28"/>
      <c r="S32" s="28"/>
      <c r="T32" s="28"/>
      <c r="U32" s="28"/>
      <c r="V32" s="32">
        <f>SUM(V27:V31)</f>
        <v>0</v>
      </c>
      <c r="W32" s="28"/>
      <c r="X32" s="33">
        <f>SUM(X27:X31)</f>
        <v>0</v>
      </c>
      <c r="Y32" s="28"/>
      <c r="Z32" s="34">
        <f>SUM(Z27:Z31)</f>
        <v>0</v>
      </c>
    </row>
    <row r="34" spans="1:26" x14ac:dyDescent="0.3">
      <c r="A34" s="147" t="s">
        <v>54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</row>
    <row r="35" spans="1:26" x14ac:dyDescent="0.3">
      <c r="A35" s="8" t="s">
        <v>55</v>
      </c>
      <c r="B35" s="9"/>
      <c r="C35" s="10"/>
      <c r="D35" s="10"/>
      <c r="E35" s="11"/>
      <c r="F35" s="12">
        <f>IF(OR(C35="",D35="",E35=""),0,C35*D35*E35)</f>
        <v>0</v>
      </c>
      <c r="G35" s="13"/>
      <c r="H35" s="13"/>
      <c r="I35" s="14"/>
      <c r="J35" s="15">
        <f>IF(OR(G35="",H35="",I35=""),0,G35*H35*I35)</f>
        <v>0</v>
      </c>
      <c r="K35" s="16"/>
      <c r="L35" s="16"/>
      <c r="M35" s="17"/>
      <c r="N35" s="18">
        <f>IF(OR(K35="",L35="",M35=""),0,K35*L35*M35)</f>
        <v>0</v>
      </c>
      <c r="O35" s="19"/>
      <c r="P35" s="20"/>
      <c r="Q35" s="20"/>
      <c r="R35" s="20"/>
      <c r="S35" s="20"/>
      <c r="T35" s="21"/>
      <c r="U35" s="22"/>
      <c r="V35" s="23"/>
      <c r="W35" s="24"/>
      <c r="X35" s="25"/>
      <c r="Y35" s="26"/>
      <c r="Z35" s="27">
        <f>IF(N35=0,0,N35-IF(V35="",0,V35))</f>
        <v>0</v>
      </c>
    </row>
    <row r="36" spans="1:26" x14ac:dyDescent="0.3">
      <c r="A36" s="8" t="s">
        <v>56</v>
      </c>
      <c r="B36" s="9"/>
      <c r="C36" s="10"/>
      <c r="D36" s="10"/>
      <c r="E36" s="11"/>
      <c r="F36" s="12">
        <f>IF(OR(C36="",D36="",E36=""),0,C36*D36*E36)</f>
        <v>0</v>
      </c>
      <c r="G36" s="13"/>
      <c r="H36" s="13"/>
      <c r="I36" s="14"/>
      <c r="J36" s="15">
        <f>IF(OR(G36="",H36="",I36=""),0,G36*H36*I36)</f>
        <v>0</v>
      </c>
      <c r="K36" s="16"/>
      <c r="L36" s="16"/>
      <c r="M36" s="17"/>
      <c r="N36" s="18">
        <f>IF(OR(K36="",L36="",M36=""),0,K36*L36*M36)</f>
        <v>0</v>
      </c>
      <c r="O36" s="19"/>
      <c r="P36" s="20"/>
      <c r="Q36" s="20"/>
      <c r="R36" s="20"/>
      <c r="S36" s="20"/>
      <c r="T36" s="21"/>
      <c r="U36" s="22"/>
      <c r="V36" s="23"/>
      <c r="W36" s="24"/>
      <c r="X36" s="25"/>
      <c r="Y36" s="26"/>
      <c r="Z36" s="27">
        <f>IF(N36=0,0,N36-IF(V36="",0,V36))</f>
        <v>0</v>
      </c>
    </row>
    <row r="37" spans="1:26" x14ac:dyDescent="0.3">
      <c r="A37" s="8" t="s">
        <v>57</v>
      </c>
      <c r="B37" s="9"/>
      <c r="C37" s="10"/>
      <c r="D37" s="10"/>
      <c r="E37" s="11"/>
      <c r="F37" s="12">
        <f>IF(OR(C37="",D37="",E37=""),0,C37*D37*E37)</f>
        <v>0</v>
      </c>
      <c r="G37" s="13"/>
      <c r="H37" s="13"/>
      <c r="I37" s="14"/>
      <c r="J37" s="15">
        <f>IF(OR(G37="",H37="",I37=""),0,G37*H37*I37)</f>
        <v>0</v>
      </c>
      <c r="K37" s="16"/>
      <c r="L37" s="16"/>
      <c r="M37" s="17"/>
      <c r="N37" s="18">
        <f>IF(OR(K37="",L37="",M37=""),0,K37*L37*M37)</f>
        <v>0</v>
      </c>
      <c r="O37" s="19"/>
      <c r="P37" s="20"/>
      <c r="Q37" s="20"/>
      <c r="R37" s="20"/>
      <c r="S37" s="20"/>
      <c r="T37" s="21"/>
      <c r="U37" s="22"/>
      <c r="V37" s="23"/>
      <c r="W37" s="24"/>
      <c r="X37" s="25"/>
      <c r="Y37" s="26"/>
      <c r="Z37" s="27">
        <f>IF(N37=0,0,N37-IF(V37="",0,V37))</f>
        <v>0</v>
      </c>
    </row>
    <row r="38" spans="1:26" x14ac:dyDescent="0.3">
      <c r="A38" s="143" t="s">
        <v>58</v>
      </c>
      <c r="B38" s="108"/>
      <c r="C38" s="28"/>
      <c r="D38" s="28"/>
      <c r="E38" s="28"/>
      <c r="F38" s="29">
        <f>SUM(F35:F37)</f>
        <v>0</v>
      </c>
      <c r="G38" s="28"/>
      <c r="H38" s="28"/>
      <c r="I38" s="28"/>
      <c r="J38" s="30">
        <f>SUM(J35:J37)</f>
        <v>0</v>
      </c>
      <c r="K38" s="28"/>
      <c r="L38" s="28"/>
      <c r="M38" s="28"/>
      <c r="N38" s="31">
        <f>SUM(N35:N37)</f>
        <v>0</v>
      </c>
      <c r="O38" s="28"/>
      <c r="P38" s="28"/>
      <c r="Q38" s="28"/>
      <c r="R38" s="28"/>
      <c r="S38" s="28"/>
      <c r="T38" s="28"/>
      <c r="U38" s="28"/>
      <c r="V38" s="32">
        <f>SUM(V35:V37)</f>
        <v>0</v>
      </c>
      <c r="W38" s="28"/>
      <c r="X38" s="33">
        <f>SUM(X35:X37)</f>
        <v>0</v>
      </c>
      <c r="Y38" s="28"/>
      <c r="Z38" s="34">
        <f>SUM(Z35:Z37)</f>
        <v>0</v>
      </c>
    </row>
    <row r="40" spans="1:26" x14ac:dyDescent="0.3">
      <c r="A40" s="126" t="s">
        <v>59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</row>
    <row r="41" spans="1:26" x14ac:dyDescent="0.3">
      <c r="A41" s="8" t="s">
        <v>60</v>
      </c>
      <c r="B41" s="9"/>
      <c r="C41" s="10"/>
      <c r="D41" s="10"/>
      <c r="E41" s="11"/>
      <c r="F41" s="12">
        <f>IF(OR(C41="",D41="",E41=""),0,C41*D41*E41)</f>
        <v>0</v>
      </c>
      <c r="G41" s="13"/>
      <c r="H41" s="13"/>
      <c r="I41" s="14"/>
      <c r="J41" s="15">
        <f>IF(OR(G41="",H41="",I41=""),0,G41*H41*I41)</f>
        <v>0</v>
      </c>
      <c r="K41" s="16"/>
      <c r="L41" s="16"/>
      <c r="M41" s="17"/>
      <c r="N41" s="18">
        <f>IF(OR(K41="",L41="",M41=""),0,K41*L41*M41)</f>
        <v>0</v>
      </c>
      <c r="O41" s="19"/>
      <c r="P41" s="20"/>
      <c r="Q41" s="20"/>
      <c r="R41" s="20"/>
      <c r="S41" s="20"/>
      <c r="T41" s="21"/>
      <c r="U41" s="22"/>
      <c r="V41" s="23"/>
      <c r="W41" s="24"/>
      <c r="X41" s="25"/>
      <c r="Y41" s="26"/>
      <c r="Z41" s="27">
        <f>IF(N41=0,0,N41-IF(V41="",0,V41))</f>
        <v>0</v>
      </c>
    </row>
    <row r="42" spans="1:26" x14ac:dyDescent="0.3">
      <c r="A42" s="8" t="s">
        <v>61</v>
      </c>
      <c r="B42" s="9"/>
      <c r="C42" s="10"/>
      <c r="D42" s="10"/>
      <c r="E42" s="11"/>
      <c r="F42" s="12">
        <f>IF(OR(C42="",D42="",E42=""),0,C42*D42*E42)</f>
        <v>0</v>
      </c>
      <c r="G42" s="13"/>
      <c r="H42" s="13"/>
      <c r="I42" s="14"/>
      <c r="J42" s="15">
        <f>IF(OR(G42="",H42="",I42=""),0,G42*H42*I42)</f>
        <v>0</v>
      </c>
      <c r="K42" s="16"/>
      <c r="L42" s="16"/>
      <c r="M42" s="17"/>
      <c r="N42" s="18">
        <f>IF(OR(K42="",L42="",M42=""),0,K42*L42*M42)</f>
        <v>0</v>
      </c>
      <c r="O42" s="19"/>
      <c r="P42" s="20"/>
      <c r="Q42" s="20"/>
      <c r="R42" s="20"/>
      <c r="S42" s="20"/>
      <c r="T42" s="21"/>
      <c r="U42" s="22"/>
      <c r="V42" s="23"/>
      <c r="W42" s="24"/>
      <c r="X42" s="25"/>
      <c r="Y42" s="26"/>
      <c r="Z42" s="27">
        <f>IF(N42=0,0,N42-IF(V42="",0,V42))</f>
        <v>0</v>
      </c>
    </row>
    <row r="43" spans="1:26" x14ac:dyDescent="0.3">
      <c r="A43" s="8" t="s">
        <v>62</v>
      </c>
      <c r="B43" s="9"/>
      <c r="C43" s="10"/>
      <c r="D43" s="10"/>
      <c r="E43" s="11"/>
      <c r="F43" s="12">
        <f>IF(OR(C43="",D43="",E43=""),0,C43*D43*E43)</f>
        <v>0</v>
      </c>
      <c r="G43" s="13"/>
      <c r="H43" s="13"/>
      <c r="I43" s="14"/>
      <c r="J43" s="15">
        <f>IF(OR(G43="",H43="",I43=""),0,G43*H43*I43)</f>
        <v>0</v>
      </c>
      <c r="K43" s="16"/>
      <c r="L43" s="16"/>
      <c r="M43" s="17"/>
      <c r="N43" s="18">
        <f>IF(OR(K43="",L43="",M43=""),0,K43*L43*M43)</f>
        <v>0</v>
      </c>
      <c r="O43" s="19"/>
      <c r="P43" s="20"/>
      <c r="Q43" s="20"/>
      <c r="R43" s="20"/>
      <c r="S43" s="20"/>
      <c r="T43" s="21"/>
      <c r="U43" s="22"/>
      <c r="V43" s="23"/>
      <c r="W43" s="24"/>
      <c r="X43" s="25"/>
      <c r="Y43" s="26"/>
      <c r="Z43" s="27">
        <f>IF(N43=0,0,N43-IF(V43="",0,V43))</f>
        <v>0</v>
      </c>
    </row>
    <row r="44" spans="1:26" x14ac:dyDescent="0.3">
      <c r="A44" s="8" t="s">
        <v>63</v>
      </c>
      <c r="B44" s="9"/>
      <c r="C44" s="10"/>
      <c r="D44" s="10"/>
      <c r="E44" s="11"/>
      <c r="F44" s="12">
        <f>IF(OR(C44="",D44="",E44=""),0,C44*D44*E44)</f>
        <v>0</v>
      </c>
      <c r="G44" s="13"/>
      <c r="H44" s="13"/>
      <c r="I44" s="14"/>
      <c r="J44" s="15">
        <f>IF(OR(G44="",H44="",I44=""),0,G44*H44*I44)</f>
        <v>0</v>
      </c>
      <c r="K44" s="16"/>
      <c r="L44" s="16"/>
      <c r="M44" s="17"/>
      <c r="N44" s="18">
        <f>IF(OR(K44="",L44="",M44=""),0,K44*L44*M44)</f>
        <v>0</v>
      </c>
      <c r="O44" s="19"/>
      <c r="P44" s="20"/>
      <c r="Q44" s="20"/>
      <c r="R44" s="20"/>
      <c r="S44" s="20"/>
      <c r="T44" s="21"/>
      <c r="U44" s="22"/>
      <c r="V44" s="23"/>
      <c r="W44" s="24"/>
      <c r="X44" s="25"/>
      <c r="Y44" s="26"/>
      <c r="Z44" s="27">
        <f>IF(N44=0,0,N44-IF(V44="",0,V44))</f>
        <v>0</v>
      </c>
    </row>
    <row r="45" spans="1:26" x14ac:dyDescent="0.3">
      <c r="A45" s="8" t="s">
        <v>64</v>
      </c>
      <c r="B45" s="9"/>
      <c r="C45" s="10"/>
      <c r="D45" s="10"/>
      <c r="E45" s="11"/>
      <c r="F45" s="12">
        <f>IF(OR(C45="",D45="",E45=""),0,C45*D45*E45)</f>
        <v>0</v>
      </c>
      <c r="G45" s="13"/>
      <c r="H45" s="13"/>
      <c r="I45" s="14"/>
      <c r="J45" s="15">
        <f>IF(OR(G45="",H45="",I45=""),0,G45*H45*I45)</f>
        <v>0</v>
      </c>
      <c r="K45" s="16"/>
      <c r="L45" s="16"/>
      <c r="M45" s="17"/>
      <c r="N45" s="18">
        <f>IF(OR(K45="",L45="",M45=""),0,K45*L45*M45)</f>
        <v>0</v>
      </c>
      <c r="O45" s="19"/>
      <c r="P45" s="20"/>
      <c r="Q45" s="20"/>
      <c r="R45" s="20"/>
      <c r="S45" s="20"/>
      <c r="T45" s="21"/>
      <c r="U45" s="22"/>
      <c r="V45" s="23"/>
      <c r="W45" s="24"/>
      <c r="X45" s="25"/>
      <c r="Y45" s="26"/>
      <c r="Z45" s="27">
        <f>IF(N45=0,0,N45-IF(V45="",0,V45))</f>
        <v>0</v>
      </c>
    </row>
    <row r="46" spans="1:26" x14ac:dyDescent="0.3">
      <c r="A46" s="135" t="s">
        <v>65</v>
      </c>
      <c r="B46" s="108"/>
      <c r="C46" s="28"/>
      <c r="D46" s="28"/>
      <c r="E46" s="28"/>
      <c r="F46" s="29">
        <f>SUM(F41:F45)</f>
        <v>0</v>
      </c>
      <c r="G46" s="28"/>
      <c r="H46" s="28"/>
      <c r="I46" s="28"/>
      <c r="J46" s="30">
        <f>SUM(J41:J45)</f>
        <v>0</v>
      </c>
      <c r="K46" s="28"/>
      <c r="L46" s="28"/>
      <c r="M46" s="28"/>
      <c r="N46" s="31">
        <f>SUM(N41:N45)</f>
        <v>0</v>
      </c>
      <c r="O46" s="28"/>
      <c r="P46" s="28"/>
      <c r="Q46" s="28"/>
      <c r="R46" s="28"/>
      <c r="S46" s="28"/>
      <c r="T46" s="28"/>
      <c r="U46" s="28"/>
      <c r="V46" s="32">
        <f>SUM(V41:V45)</f>
        <v>0</v>
      </c>
      <c r="W46" s="28"/>
      <c r="X46" s="33">
        <f>SUM(X41:X45)</f>
        <v>0</v>
      </c>
      <c r="Y46" s="28"/>
      <c r="Z46" s="34">
        <f>SUM(Z41:Z45)</f>
        <v>0</v>
      </c>
    </row>
    <row r="48" spans="1:26" x14ac:dyDescent="0.3">
      <c r="A48" s="151" t="s">
        <v>66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spans="1:26" x14ac:dyDescent="0.3">
      <c r="A49" s="8" t="s">
        <v>67</v>
      </c>
      <c r="B49" s="9"/>
      <c r="C49" s="10"/>
      <c r="D49" s="10"/>
      <c r="E49" s="11"/>
      <c r="F49" s="12">
        <f>IF(OR(C49="",D49="",E49=""),0,C49*D49*E49)</f>
        <v>0</v>
      </c>
      <c r="G49" s="13"/>
      <c r="H49" s="13"/>
      <c r="I49" s="14"/>
      <c r="J49" s="15">
        <f>IF(OR(G49="",H49="",I49=""),0,G49*H49*I49)</f>
        <v>0</v>
      </c>
      <c r="K49" s="16"/>
      <c r="L49" s="16"/>
      <c r="M49" s="17"/>
      <c r="N49" s="18">
        <f>IF(OR(K49="",L49="",M49=""),0,K49*L49*M49)</f>
        <v>0</v>
      </c>
      <c r="O49" s="19"/>
      <c r="P49" s="20"/>
      <c r="Q49" s="20"/>
      <c r="R49" s="20"/>
      <c r="S49" s="20"/>
      <c r="T49" s="21"/>
      <c r="U49" s="22"/>
      <c r="V49" s="23"/>
      <c r="W49" s="24"/>
      <c r="X49" s="25"/>
      <c r="Y49" s="26"/>
      <c r="Z49" s="27">
        <f>IF(N49=0,0,N49-IF(V49="",0,V49))</f>
        <v>0</v>
      </c>
    </row>
    <row r="50" spans="1:26" x14ac:dyDescent="0.3">
      <c r="A50" s="8" t="s">
        <v>68</v>
      </c>
      <c r="B50" s="9"/>
      <c r="C50" s="10"/>
      <c r="D50" s="10"/>
      <c r="E50" s="11"/>
      <c r="F50" s="12">
        <f>IF(OR(C50="",D50="",E50=""),0,C50*D50*E50)</f>
        <v>0</v>
      </c>
      <c r="G50" s="13"/>
      <c r="H50" s="13"/>
      <c r="I50" s="14"/>
      <c r="J50" s="15">
        <f>IF(OR(G50="",H50="",I50=""),0,G50*H50*I50)</f>
        <v>0</v>
      </c>
      <c r="K50" s="16"/>
      <c r="L50" s="16"/>
      <c r="M50" s="17"/>
      <c r="N50" s="18">
        <f>IF(OR(K50="",L50="",M50=""),0,K50*L50*M50)</f>
        <v>0</v>
      </c>
      <c r="O50" s="19"/>
      <c r="P50" s="20"/>
      <c r="Q50" s="20"/>
      <c r="R50" s="20"/>
      <c r="S50" s="20"/>
      <c r="T50" s="21"/>
      <c r="U50" s="22"/>
      <c r="V50" s="23"/>
      <c r="W50" s="24"/>
      <c r="X50" s="25"/>
      <c r="Y50" s="26"/>
      <c r="Z50" s="27">
        <f>IF(N50=0,0,N50-IF(V50="",0,V50))</f>
        <v>0</v>
      </c>
    </row>
    <row r="51" spans="1:26" x14ac:dyDescent="0.3">
      <c r="A51" s="8" t="s">
        <v>69</v>
      </c>
      <c r="B51" s="9"/>
      <c r="C51" s="10"/>
      <c r="D51" s="10"/>
      <c r="E51" s="11"/>
      <c r="F51" s="12">
        <f>IF(OR(C51="",D51="",E51=""),0,C51*D51*E51)</f>
        <v>0</v>
      </c>
      <c r="G51" s="13"/>
      <c r="H51" s="13"/>
      <c r="I51" s="14"/>
      <c r="J51" s="15">
        <f>IF(OR(G51="",H51="",I51=""),0,G51*H51*I51)</f>
        <v>0</v>
      </c>
      <c r="K51" s="16"/>
      <c r="L51" s="16"/>
      <c r="M51" s="17"/>
      <c r="N51" s="18">
        <f>IF(OR(K51="",L51="",M51=""),0,K51*L51*M51)</f>
        <v>0</v>
      </c>
      <c r="O51" s="19"/>
      <c r="P51" s="20"/>
      <c r="Q51" s="20"/>
      <c r="R51" s="20"/>
      <c r="S51" s="20"/>
      <c r="T51" s="21"/>
      <c r="U51" s="22"/>
      <c r="V51" s="23"/>
      <c r="W51" s="24"/>
      <c r="X51" s="25"/>
      <c r="Y51" s="26"/>
      <c r="Z51" s="27">
        <f>IF(N51=0,0,N51-IF(V51="",0,V51))</f>
        <v>0</v>
      </c>
    </row>
    <row r="52" spans="1:26" x14ac:dyDescent="0.3">
      <c r="A52" s="145" t="s">
        <v>70</v>
      </c>
      <c r="B52" s="108"/>
      <c r="C52" s="28"/>
      <c r="D52" s="28"/>
      <c r="E52" s="28"/>
      <c r="F52" s="29">
        <f>SUM(F49:F51)</f>
        <v>0</v>
      </c>
      <c r="G52" s="28"/>
      <c r="H52" s="28"/>
      <c r="I52" s="28"/>
      <c r="J52" s="30">
        <f>SUM(J49:J51)</f>
        <v>0</v>
      </c>
      <c r="K52" s="28"/>
      <c r="L52" s="28"/>
      <c r="M52" s="28"/>
      <c r="N52" s="31">
        <f>SUM(N49:N51)</f>
        <v>0</v>
      </c>
      <c r="O52" s="28"/>
      <c r="P52" s="28"/>
      <c r="Q52" s="28"/>
      <c r="R52" s="28"/>
      <c r="S52" s="28"/>
      <c r="T52" s="28"/>
      <c r="U52" s="28"/>
      <c r="V52" s="32">
        <f>SUM(V49:V51)</f>
        <v>0</v>
      </c>
      <c r="W52" s="28"/>
      <c r="X52" s="33">
        <f>SUM(X49:X51)</f>
        <v>0</v>
      </c>
      <c r="Y52" s="28"/>
      <c r="Z52" s="34">
        <f>SUM(Z49:Z51)</f>
        <v>0</v>
      </c>
    </row>
    <row r="54" spans="1:26" x14ac:dyDescent="0.3">
      <c r="A54" s="139" t="s">
        <v>71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</row>
    <row r="55" spans="1:26" x14ac:dyDescent="0.3">
      <c r="A55" s="8" t="s">
        <v>72</v>
      </c>
      <c r="B55" s="9"/>
      <c r="C55" s="10"/>
      <c r="D55" s="10"/>
      <c r="E55" s="11"/>
      <c r="F55" s="12">
        <f>IF(OR(C55="",D55="",E55=""),0,C55*D55*E55)</f>
        <v>0</v>
      </c>
      <c r="G55" s="13"/>
      <c r="H55" s="13"/>
      <c r="I55" s="14"/>
      <c r="J55" s="15">
        <f>IF(OR(G55="",H55="",I55=""),0,G55*H55*I55)</f>
        <v>0</v>
      </c>
      <c r="K55" s="16"/>
      <c r="L55" s="16"/>
      <c r="M55" s="17"/>
      <c r="N55" s="18">
        <f>IF(OR(K55="",L55="",M55=""),0,K55*L55*M55)</f>
        <v>0</v>
      </c>
      <c r="O55" s="19"/>
      <c r="P55" s="20"/>
      <c r="Q55" s="20"/>
      <c r="R55" s="20"/>
      <c r="S55" s="20"/>
      <c r="T55" s="21"/>
      <c r="U55" s="22"/>
      <c r="V55" s="23"/>
      <c r="W55" s="24"/>
      <c r="X55" s="25"/>
      <c r="Y55" s="26"/>
      <c r="Z55" s="27">
        <f>IF(N55=0,0,N55-IF(V55="",0,V55))</f>
        <v>0</v>
      </c>
    </row>
    <row r="56" spans="1:26" x14ac:dyDescent="0.3">
      <c r="A56" s="8" t="s">
        <v>73</v>
      </c>
      <c r="B56" s="9"/>
      <c r="C56" s="10"/>
      <c r="D56" s="10"/>
      <c r="E56" s="11"/>
      <c r="F56" s="12">
        <f>IF(OR(C56="",D56="",E56=""),0,C56*D56*E56)</f>
        <v>0</v>
      </c>
      <c r="G56" s="13"/>
      <c r="H56" s="13"/>
      <c r="I56" s="14"/>
      <c r="J56" s="15">
        <f>IF(OR(G56="",H56="",I56=""),0,G56*H56*I56)</f>
        <v>0</v>
      </c>
      <c r="K56" s="16"/>
      <c r="L56" s="16"/>
      <c r="M56" s="17"/>
      <c r="N56" s="18">
        <f>IF(OR(K56="",L56="",M56=""),0,K56*L56*M56)</f>
        <v>0</v>
      </c>
      <c r="O56" s="19"/>
      <c r="P56" s="20"/>
      <c r="Q56" s="20"/>
      <c r="R56" s="20"/>
      <c r="S56" s="20"/>
      <c r="T56" s="21"/>
      <c r="U56" s="22"/>
      <c r="V56" s="23"/>
      <c r="W56" s="24"/>
      <c r="X56" s="25"/>
      <c r="Y56" s="26"/>
      <c r="Z56" s="27">
        <f>IF(N56=0,0,N56-IF(V56="",0,V56))</f>
        <v>0</v>
      </c>
    </row>
    <row r="57" spans="1:26" x14ac:dyDescent="0.3">
      <c r="A57" s="8" t="s">
        <v>74</v>
      </c>
      <c r="B57" s="9"/>
      <c r="C57" s="10"/>
      <c r="D57" s="10"/>
      <c r="E57" s="11"/>
      <c r="F57" s="12">
        <f>IF(OR(C57="",D57="",E57=""),0,C57*D57*E57)</f>
        <v>0</v>
      </c>
      <c r="G57" s="13"/>
      <c r="H57" s="13"/>
      <c r="I57" s="14"/>
      <c r="J57" s="15">
        <f>IF(OR(G57="",H57="",I57=""),0,G57*H57*I57)</f>
        <v>0</v>
      </c>
      <c r="K57" s="16"/>
      <c r="L57" s="16"/>
      <c r="M57" s="17"/>
      <c r="N57" s="18">
        <f>IF(OR(K57="",L57="",M57=""),0,K57*L57*M57)</f>
        <v>0</v>
      </c>
      <c r="O57" s="19"/>
      <c r="P57" s="20"/>
      <c r="Q57" s="20"/>
      <c r="R57" s="20"/>
      <c r="S57" s="20"/>
      <c r="T57" s="21"/>
      <c r="U57" s="22"/>
      <c r="V57" s="23"/>
      <c r="W57" s="24"/>
      <c r="X57" s="25"/>
      <c r="Y57" s="26"/>
      <c r="Z57" s="27">
        <f>IF(N57=0,0,N57-IF(V57="",0,V57))</f>
        <v>0</v>
      </c>
    </row>
    <row r="58" spans="1:26" x14ac:dyDescent="0.3">
      <c r="A58" s="163" t="s">
        <v>75</v>
      </c>
      <c r="B58" s="108"/>
      <c r="C58" s="28"/>
      <c r="D58" s="28"/>
      <c r="E58" s="28"/>
      <c r="F58" s="29">
        <f>SUM(F55:F57)</f>
        <v>0</v>
      </c>
      <c r="G58" s="28"/>
      <c r="H58" s="28"/>
      <c r="I58" s="28"/>
      <c r="J58" s="30">
        <f>SUM(J55:J57)</f>
        <v>0</v>
      </c>
      <c r="K58" s="28"/>
      <c r="L58" s="28"/>
      <c r="M58" s="28"/>
      <c r="N58" s="31">
        <f>SUM(N55:N57)</f>
        <v>0</v>
      </c>
      <c r="O58" s="28"/>
      <c r="P58" s="28"/>
      <c r="Q58" s="28"/>
      <c r="R58" s="28"/>
      <c r="S58" s="28"/>
      <c r="T58" s="28"/>
      <c r="U58" s="28"/>
      <c r="V58" s="32">
        <f>SUM(V55:V57)</f>
        <v>0</v>
      </c>
      <c r="W58" s="28"/>
      <c r="X58" s="33">
        <f>SUM(X55:X57)</f>
        <v>0</v>
      </c>
      <c r="Y58" s="28"/>
      <c r="Z58" s="34">
        <f>SUM(Z55:Z57)</f>
        <v>0</v>
      </c>
    </row>
    <row r="60" spans="1:26" x14ac:dyDescent="0.3">
      <c r="A60" s="111" t="s">
        <v>76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</row>
    <row r="61" spans="1:26" x14ac:dyDescent="0.3">
      <c r="A61" s="8" t="s">
        <v>77</v>
      </c>
      <c r="B61" s="9"/>
      <c r="C61" s="10"/>
      <c r="D61" s="10"/>
      <c r="E61" s="11"/>
      <c r="F61" s="12">
        <f>IF(OR(C61="",D61="",E61=""),0,C61*D61*E61)</f>
        <v>0</v>
      </c>
      <c r="G61" s="13"/>
      <c r="H61" s="13"/>
      <c r="I61" s="14"/>
      <c r="J61" s="15">
        <f>IF(OR(G61="",H61="",I61=""),0,G61*H61*I61)</f>
        <v>0</v>
      </c>
      <c r="K61" s="16"/>
      <c r="L61" s="16"/>
      <c r="M61" s="17"/>
      <c r="N61" s="18">
        <f>IF(OR(K61="",L61="",M61=""),0,K61*L61*M61)</f>
        <v>0</v>
      </c>
      <c r="O61" s="19"/>
      <c r="P61" s="20"/>
      <c r="Q61" s="20"/>
      <c r="R61" s="20"/>
      <c r="S61" s="20"/>
      <c r="T61" s="21"/>
      <c r="U61" s="22"/>
      <c r="V61" s="23"/>
      <c r="W61" s="24"/>
      <c r="X61" s="25"/>
      <c r="Y61" s="26"/>
      <c r="Z61" s="27">
        <f>IF(N61=0,0,N61-IF(V61="",0,V61))</f>
        <v>0</v>
      </c>
    </row>
    <row r="62" spans="1:26" x14ac:dyDescent="0.3">
      <c r="A62" s="8" t="s">
        <v>78</v>
      </c>
      <c r="B62" s="9"/>
      <c r="C62" s="10"/>
      <c r="D62" s="10"/>
      <c r="E62" s="11"/>
      <c r="F62" s="12">
        <f>IF(OR(C62="",D62="",E62=""),0,C62*D62*E62)</f>
        <v>0</v>
      </c>
      <c r="G62" s="13"/>
      <c r="H62" s="13"/>
      <c r="I62" s="14"/>
      <c r="J62" s="15">
        <f>IF(OR(G62="",H62="",I62=""),0,G62*H62*I62)</f>
        <v>0</v>
      </c>
      <c r="K62" s="16"/>
      <c r="L62" s="16"/>
      <c r="M62" s="17"/>
      <c r="N62" s="18">
        <f>IF(OR(K62="",L62="",M62=""),0,K62*L62*M62)</f>
        <v>0</v>
      </c>
      <c r="O62" s="19"/>
      <c r="P62" s="20"/>
      <c r="Q62" s="20"/>
      <c r="R62" s="20"/>
      <c r="S62" s="20"/>
      <c r="T62" s="21"/>
      <c r="U62" s="22"/>
      <c r="V62" s="23"/>
      <c r="W62" s="24"/>
      <c r="X62" s="25"/>
      <c r="Y62" s="26"/>
      <c r="Z62" s="27">
        <f>IF(N62=0,0,N62-IF(V62="",0,V62))</f>
        <v>0</v>
      </c>
    </row>
    <row r="63" spans="1:26" x14ac:dyDescent="0.3">
      <c r="A63" s="8" t="s">
        <v>79</v>
      </c>
      <c r="B63" s="9"/>
      <c r="C63" s="10"/>
      <c r="D63" s="10"/>
      <c r="E63" s="11"/>
      <c r="F63" s="12">
        <f>IF(OR(C63="",D63="",E63=""),0,C63*D63*E63)</f>
        <v>0</v>
      </c>
      <c r="G63" s="13"/>
      <c r="H63" s="13"/>
      <c r="I63" s="14"/>
      <c r="J63" s="15">
        <f>IF(OR(G63="",H63="",I63=""),0,G63*H63*I63)</f>
        <v>0</v>
      </c>
      <c r="K63" s="16"/>
      <c r="L63" s="16"/>
      <c r="M63" s="17"/>
      <c r="N63" s="18">
        <f>IF(OR(K63="",L63="",M63=""),0,K63*L63*M63)</f>
        <v>0</v>
      </c>
      <c r="O63" s="19"/>
      <c r="P63" s="20"/>
      <c r="Q63" s="20"/>
      <c r="R63" s="20"/>
      <c r="S63" s="20"/>
      <c r="T63" s="21"/>
      <c r="U63" s="22"/>
      <c r="V63" s="23"/>
      <c r="W63" s="24"/>
      <c r="X63" s="25"/>
      <c r="Y63" s="26"/>
      <c r="Z63" s="27">
        <f>IF(N63=0,0,N63-IF(V63="",0,V63))</f>
        <v>0</v>
      </c>
    </row>
    <row r="64" spans="1:26" x14ac:dyDescent="0.3">
      <c r="A64" s="8" t="s">
        <v>80</v>
      </c>
      <c r="B64" s="9"/>
      <c r="C64" s="10"/>
      <c r="D64" s="10"/>
      <c r="E64" s="11"/>
      <c r="F64" s="12">
        <f>IF(OR(C64="",D64="",E64=""),0,C64*D64*E64)</f>
        <v>0</v>
      </c>
      <c r="G64" s="13"/>
      <c r="H64" s="13"/>
      <c r="I64" s="14"/>
      <c r="J64" s="15">
        <f>IF(OR(G64="",H64="",I64=""),0,G64*H64*I64)</f>
        <v>0</v>
      </c>
      <c r="K64" s="16"/>
      <c r="L64" s="16"/>
      <c r="M64" s="17"/>
      <c r="N64" s="18">
        <f>IF(OR(K64="",L64="",M64=""),0,K64*L64*M64)</f>
        <v>0</v>
      </c>
      <c r="O64" s="19"/>
      <c r="P64" s="20"/>
      <c r="Q64" s="20"/>
      <c r="R64" s="20"/>
      <c r="S64" s="20"/>
      <c r="T64" s="21"/>
      <c r="U64" s="22"/>
      <c r="V64" s="23"/>
      <c r="W64" s="24"/>
      <c r="X64" s="25"/>
      <c r="Y64" s="26"/>
      <c r="Z64" s="27">
        <f>IF(N64=0,0,N64-IF(V64="",0,V64))</f>
        <v>0</v>
      </c>
    </row>
    <row r="65" spans="1:26" x14ac:dyDescent="0.3">
      <c r="A65" s="8" t="s">
        <v>81</v>
      </c>
      <c r="B65" s="9"/>
      <c r="C65" s="10"/>
      <c r="D65" s="10"/>
      <c r="E65" s="11"/>
      <c r="F65" s="12">
        <f>IF(OR(C65="",D65="",E65=""),0,C65*D65*E65)</f>
        <v>0</v>
      </c>
      <c r="G65" s="13"/>
      <c r="H65" s="13"/>
      <c r="I65" s="14"/>
      <c r="J65" s="15">
        <f>IF(OR(G65="",H65="",I65=""),0,G65*H65*I65)</f>
        <v>0</v>
      </c>
      <c r="K65" s="16"/>
      <c r="L65" s="16"/>
      <c r="M65" s="17"/>
      <c r="N65" s="18">
        <f>IF(OR(K65="",L65="",M65=""),0,K65*L65*M65)</f>
        <v>0</v>
      </c>
      <c r="O65" s="19"/>
      <c r="P65" s="20"/>
      <c r="Q65" s="20"/>
      <c r="R65" s="20"/>
      <c r="S65" s="20"/>
      <c r="T65" s="21"/>
      <c r="U65" s="22"/>
      <c r="V65" s="23"/>
      <c r="W65" s="24"/>
      <c r="X65" s="25"/>
      <c r="Y65" s="26"/>
      <c r="Z65" s="27">
        <f>IF(N65=0,0,N65-IF(V65="",0,V65))</f>
        <v>0</v>
      </c>
    </row>
    <row r="66" spans="1:26" x14ac:dyDescent="0.3">
      <c r="A66" s="136" t="s">
        <v>82</v>
      </c>
      <c r="B66" s="108"/>
      <c r="C66" s="28"/>
      <c r="D66" s="28"/>
      <c r="E66" s="28"/>
      <c r="F66" s="29">
        <f>SUM(F61:F65)</f>
        <v>0</v>
      </c>
      <c r="G66" s="28"/>
      <c r="H66" s="28"/>
      <c r="I66" s="28"/>
      <c r="J66" s="30">
        <f>SUM(J61:J65)</f>
        <v>0</v>
      </c>
      <c r="K66" s="28"/>
      <c r="L66" s="28"/>
      <c r="M66" s="28"/>
      <c r="N66" s="31">
        <f>SUM(N61:N65)</f>
        <v>0</v>
      </c>
      <c r="O66" s="28"/>
      <c r="P66" s="28"/>
      <c r="Q66" s="28"/>
      <c r="R66" s="28"/>
      <c r="S66" s="28"/>
      <c r="T66" s="28"/>
      <c r="U66" s="28"/>
      <c r="V66" s="32">
        <f>SUM(V61:V65)</f>
        <v>0</v>
      </c>
      <c r="W66" s="28"/>
      <c r="X66" s="33">
        <f>SUM(X61:X65)</f>
        <v>0</v>
      </c>
      <c r="Y66" s="28"/>
      <c r="Z66" s="34">
        <f>SUM(Z61:Z65)</f>
        <v>0</v>
      </c>
    </row>
    <row r="68" spans="1:26" x14ac:dyDescent="0.3">
      <c r="A68" s="171" t="s">
        <v>83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</row>
    <row r="69" spans="1:26" x14ac:dyDescent="0.3">
      <c r="A69" s="8" t="s">
        <v>84</v>
      </c>
      <c r="B69" s="9"/>
      <c r="C69" s="10"/>
      <c r="D69" s="10"/>
      <c r="E69" s="11"/>
      <c r="F69" s="12">
        <f t="shared" ref="F69:F76" si="0">IF(OR(C69="",D69="",E69=""),0,C69*D69*E69)</f>
        <v>0</v>
      </c>
      <c r="G69" s="13"/>
      <c r="H69" s="13"/>
      <c r="I69" s="14"/>
      <c r="J69" s="15">
        <f t="shared" ref="J69:J76" si="1">IF(OR(G69="",H69="",I69=""),0,G69*H69*I69)</f>
        <v>0</v>
      </c>
      <c r="K69" s="16"/>
      <c r="L69" s="16"/>
      <c r="M69" s="17"/>
      <c r="N69" s="18">
        <f t="shared" ref="N69:N76" si="2">IF(OR(K69="",L69="",M69=""),0,K69*L69*M69)</f>
        <v>0</v>
      </c>
      <c r="O69" s="19"/>
      <c r="P69" s="20"/>
      <c r="Q69" s="20"/>
      <c r="R69" s="20"/>
      <c r="S69" s="20"/>
      <c r="T69" s="21"/>
      <c r="U69" s="22"/>
      <c r="V69" s="23"/>
      <c r="W69" s="24"/>
      <c r="X69" s="25"/>
      <c r="Y69" s="26"/>
      <c r="Z69" s="27">
        <f t="shared" ref="Z69:Z76" si="3">IF(N69=0,0,N69-IF(V69="",0,V69))</f>
        <v>0</v>
      </c>
    </row>
    <row r="70" spans="1:26" x14ac:dyDescent="0.3">
      <c r="A70" s="8" t="s">
        <v>85</v>
      </c>
      <c r="B70" s="9"/>
      <c r="C70" s="10"/>
      <c r="D70" s="10"/>
      <c r="E70" s="11"/>
      <c r="F70" s="12">
        <f t="shared" si="0"/>
        <v>0</v>
      </c>
      <c r="G70" s="13"/>
      <c r="H70" s="13"/>
      <c r="I70" s="14"/>
      <c r="J70" s="15">
        <f t="shared" si="1"/>
        <v>0</v>
      </c>
      <c r="K70" s="16"/>
      <c r="L70" s="16"/>
      <c r="M70" s="17"/>
      <c r="N70" s="18">
        <f t="shared" si="2"/>
        <v>0</v>
      </c>
      <c r="O70" s="19"/>
      <c r="P70" s="20"/>
      <c r="Q70" s="20"/>
      <c r="R70" s="20"/>
      <c r="S70" s="20"/>
      <c r="T70" s="21"/>
      <c r="U70" s="22"/>
      <c r="V70" s="23"/>
      <c r="W70" s="24"/>
      <c r="X70" s="25"/>
      <c r="Y70" s="26"/>
      <c r="Z70" s="27">
        <f t="shared" si="3"/>
        <v>0</v>
      </c>
    </row>
    <row r="71" spans="1:26" x14ac:dyDescent="0.3">
      <c r="A71" s="8" t="s">
        <v>86</v>
      </c>
      <c r="B71" s="9"/>
      <c r="C71" s="10"/>
      <c r="D71" s="10"/>
      <c r="E71" s="11"/>
      <c r="F71" s="12">
        <f t="shared" si="0"/>
        <v>0</v>
      </c>
      <c r="G71" s="13"/>
      <c r="H71" s="13"/>
      <c r="I71" s="14"/>
      <c r="J71" s="15">
        <f t="shared" si="1"/>
        <v>0</v>
      </c>
      <c r="K71" s="16"/>
      <c r="L71" s="16"/>
      <c r="M71" s="17"/>
      <c r="N71" s="18">
        <f t="shared" si="2"/>
        <v>0</v>
      </c>
      <c r="O71" s="19"/>
      <c r="P71" s="20"/>
      <c r="Q71" s="20"/>
      <c r="R71" s="20"/>
      <c r="S71" s="20"/>
      <c r="T71" s="21"/>
      <c r="U71" s="22"/>
      <c r="V71" s="23"/>
      <c r="W71" s="24"/>
      <c r="X71" s="25"/>
      <c r="Y71" s="26"/>
      <c r="Z71" s="27">
        <f t="shared" si="3"/>
        <v>0</v>
      </c>
    </row>
    <row r="72" spans="1:26" x14ac:dyDescent="0.3">
      <c r="A72" s="8" t="s">
        <v>87</v>
      </c>
      <c r="B72" s="9"/>
      <c r="C72" s="10"/>
      <c r="D72" s="10"/>
      <c r="E72" s="11"/>
      <c r="F72" s="12">
        <f t="shared" si="0"/>
        <v>0</v>
      </c>
      <c r="G72" s="13"/>
      <c r="H72" s="13"/>
      <c r="I72" s="14"/>
      <c r="J72" s="15">
        <f t="shared" si="1"/>
        <v>0</v>
      </c>
      <c r="K72" s="16"/>
      <c r="L72" s="16"/>
      <c r="M72" s="17"/>
      <c r="N72" s="18">
        <f t="shared" si="2"/>
        <v>0</v>
      </c>
      <c r="O72" s="19"/>
      <c r="P72" s="20"/>
      <c r="Q72" s="20"/>
      <c r="R72" s="20"/>
      <c r="S72" s="20"/>
      <c r="T72" s="21"/>
      <c r="U72" s="22"/>
      <c r="V72" s="23"/>
      <c r="W72" s="24"/>
      <c r="X72" s="25"/>
      <c r="Y72" s="26"/>
      <c r="Z72" s="27">
        <f t="shared" si="3"/>
        <v>0</v>
      </c>
    </row>
    <row r="73" spans="1:26" x14ac:dyDescent="0.3">
      <c r="A73" s="8" t="s">
        <v>88</v>
      </c>
      <c r="B73" s="9"/>
      <c r="C73" s="10"/>
      <c r="D73" s="10"/>
      <c r="E73" s="11"/>
      <c r="F73" s="12">
        <f t="shared" si="0"/>
        <v>0</v>
      </c>
      <c r="G73" s="13"/>
      <c r="H73" s="13"/>
      <c r="I73" s="14"/>
      <c r="J73" s="15">
        <f t="shared" si="1"/>
        <v>0</v>
      </c>
      <c r="K73" s="16"/>
      <c r="L73" s="16"/>
      <c r="M73" s="17"/>
      <c r="N73" s="18">
        <f t="shared" si="2"/>
        <v>0</v>
      </c>
      <c r="O73" s="19"/>
      <c r="P73" s="20"/>
      <c r="Q73" s="20"/>
      <c r="R73" s="20"/>
      <c r="S73" s="20"/>
      <c r="T73" s="21"/>
      <c r="U73" s="22"/>
      <c r="V73" s="23"/>
      <c r="W73" s="24"/>
      <c r="X73" s="25"/>
      <c r="Y73" s="26"/>
      <c r="Z73" s="27">
        <f t="shared" si="3"/>
        <v>0</v>
      </c>
    </row>
    <row r="74" spans="1:26" x14ac:dyDescent="0.3">
      <c r="A74" s="8" t="s">
        <v>89</v>
      </c>
      <c r="B74" s="9"/>
      <c r="C74" s="10"/>
      <c r="D74" s="10"/>
      <c r="E74" s="11"/>
      <c r="F74" s="12">
        <f t="shared" si="0"/>
        <v>0</v>
      </c>
      <c r="G74" s="13"/>
      <c r="H74" s="13"/>
      <c r="I74" s="14"/>
      <c r="J74" s="15">
        <f t="shared" si="1"/>
        <v>0</v>
      </c>
      <c r="K74" s="16"/>
      <c r="L74" s="16"/>
      <c r="M74" s="17"/>
      <c r="N74" s="18">
        <f t="shared" si="2"/>
        <v>0</v>
      </c>
      <c r="O74" s="19"/>
      <c r="P74" s="20"/>
      <c r="Q74" s="20"/>
      <c r="R74" s="20"/>
      <c r="S74" s="20"/>
      <c r="T74" s="21"/>
      <c r="U74" s="22"/>
      <c r="V74" s="23"/>
      <c r="W74" s="24"/>
      <c r="X74" s="25"/>
      <c r="Y74" s="26"/>
      <c r="Z74" s="27">
        <f t="shared" si="3"/>
        <v>0</v>
      </c>
    </row>
    <row r="75" spans="1:26" x14ac:dyDescent="0.3">
      <c r="A75" s="8" t="s">
        <v>90</v>
      </c>
      <c r="B75" s="9"/>
      <c r="C75" s="10"/>
      <c r="D75" s="10"/>
      <c r="E75" s="11"/>
      <c r="F75" s="12">
        <f t="shared" si="0"/>
        <v>0</v>
      </c>
      <c r="G75" s="13"/>
      <c r="H75" s="13"/>
      <c r="I75" s="14"/>
      <c r="J75" s="15">
        <f t="shared" si="1"/>
        <v>0</v>
      </c>
      <c r="K75" s="16"/>
      <c r="L75" s="16"/>
      <c r="M75" s="17"/>
      <c r="N75" s="18">
        <f t="shared" si="2"/>
        <v>0</v>
      </c>
      <c r="O75" s="19"/>
      <c r="P75" s="20"/>
      <c r="Q75" s="20"/>
      <c r="R75" s="20"/>
      <c r="S75" s="20"/>
      <c r="T75" s="21"/>
      <c r="U75" s="22"/>
      <c r="V75" s="23"/>
      <c r="W75" s="24"/>
      <c r="X75" s="25"/>
      <c r="Y75" s="26"/>
      <c r="Z75" s="27">
        <f t="shared" si="3"/>
        <v>0</v>
      </c>
    </row>
    <row r="76" spans="1:26" x14ac:dyDescent="0.3">
      <c r="A76" s="8" t="s">
        <v>91</v>
      </c>
      <c r="B76" s="9"/>
      <c r="C76" s="10"/>
      <c r="D76" s="10"/>
      <c r="E76" s="11"/>
      <c r="F76" s="12">
        <f t="shared" si="0"/>
        <v>0</v>
      </c>
      <c r="G76" s="13"/>
      <c r="H76" s="13"/>
      <c r="I76" s="14"/>
      <c r="J76" s="15">
        <f t="shared" si="1"/>
        <v>0</v>
      </c>
      <c r="K76" s="16"/>
      <c r="L76" s="16"/>
      <c r="M76" s="17"/>
      <c r="N76" s="18">
        <f t="shared" si="2"/>
        <v>0</v>
      </c>
      <c r="O76" s="19"/>
      <c r="P76" s="20"/>
      <c r="Q76" s="20"/>
      <c r="R76" s="20"/>
      <c r="S76" s="20"/>
      <c r="T76" s="21"/>
      <c r="U76" s="22"/>
      <c r="V76" s="23"/>
      <c r="W76" s="24"/>
      <c r="X76" s="25"/>
      <c r="Y76" s="26"/>
      <c r="Z76" s="27">
        <f t="shared" si="3"/>
        <v>0</v>
      </c>
    </row>
    <row r="77" spans="1:26" x14ac:dyDescent="0.3">
      <c r="A77" s="164" t="s">
        <v>92</v>
      </c>
      <c r="B77" s="108"/>
      <c r="C77" s="28"/>
      <c r="D77" s="28"/>
      <c r="E77" s="28"/>
      <c r="F77" s="29">
        <f>SUM(F69:F76)</f>
        <v>0</v>
      </c>
      <c r="G77" s="28"/>
      <c r="H77" s="28"/>
      <c r="I77" s="28"/>
      <c r="J77" s="30">
        <f>SUM(J69:J76)</f>
        <v>0</v>
      </c>
      <c r="K77" s="28"/>
      <c r="L77" s="28"/>
      <c r="M77" s="28"/>
      <c r="N77" s="31">
        <f>SUM(N69:N76)</f>
        <v>0</v>
      </c>
      <c r="O77" s="28"/>
      <c r="P77" s="28"/>
      <c r="Q77" s="28"/>
      <c r="R77" s="28"/>
      <c r="S77" s="28"/>
      <c r="T77" s="28"/>
      <c r="U77" s="28"/>
      <c r="V77" s="32">
        <f>SUM(V69:V76)</f>
        <v>0</v>
      </c>
      <c r="W77" s="28"/>
      <c r="X77" s="33">
        <f>SUM(X69:X76)</f>
        <v>0</v>
      </c>
      <c r="Y77" s="28"/>
      <c r="Z77" s="34">
        <f>SUM(Z69:Z76)</f>
        <v>0</v>
      </c>
    </row>
    <row r="79" spans="1:26" x14ac:dyDescent="0.3">
      <c r="A79" s="133" t="s">
        <v>93</v>
      </c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</row>
    <row r="80" spans="1:26" x14ac:dyDescent="0.3">
      <c r="A80" s="8" t="s">
        <v>94</v>
      </c>
      <c r="B80" s="9"/>
      <c r="C80" s="10"/>
      <c r="D80" s="10"/>
      <c r="E80" s="11"/>
      <c r="F80" s="12">
        <f t="shared" ref="F80:F85" si="4">IF(OR(C80="",D80="",E80=""),0,C80*D80*E80)</f>
        <v>0</v>
      </c>
      <c r="G80" s="13"/>
      <c r="H80" s="13"/>
      <c r="I80" s="14"/>
      <c r="J80" s="15">
        <f t="shared" ref="J80:J85" si="5">IF(OR(G80="",H80="",I80=""),0,G80*H80*I80)</f>
        <v>0</v>
      </c>
      <c r="K80" s="16"/>
      <c r="L80" s="16"/>
      <c r="M80" s="17"/>
      <c r="N80" s="18">
        <f t="shared" ref="N80:N85" si="6">IF(OR(K80="",L80="",M80=""),0,K80*L80*M80)</f>
        <v>0</v>
      </c>
      <c r="O80" s="19"/>
      <c r="P80" s="20"/>
      <c r="Q80" s="20"/>
      <c r="R80" s="20"/>
      <c r="S80" s="20"/>
      <c r="T80" s="21"/>
      <c r="U80" s="22"/>
      <c r="V80" s="23"/>
      <c r="W80" s="24"/>
      <c r="X80" s="25"/>
      <c r="Y80" s="26"/>
      <c r="Z80" s="27">
        <f t="shared" ref="Z80:Z85" si="7">IF(N80=0,0,N80-IF(V80="",0,V80))</f>
        <v>0</v>
      </c>
    </row>
    <row r="81" spans="1:26" x14ac:dyDescent="0.3">
      <c r="A81" s="8" t="s">
        <v>95</v>
      </c>
      <c r="B81" s="9"/>
      <c r="C81" s="10"/>
      <c r="D81" s="10"/>
      <c r="E81" s="11"/>
      <c r="F81" s="12">
        <f t="shared" si="4"/>
        <v>0</v>
      </c>
      <c r="G81" s="13"/>
      <c r="H81" s="13"/>
      <c r="I81" s="14"/>
      <c r="J81" s="15">
        <f t="shared" si="5"/>
        <v>0</v>
      </c>
      <c r="K81" s="16"/>
      <c r="L81" s="16"/>
      <c r="M81" s="17"/>
      <c r="N81" s="18">
        <f t="shared" si="6"/>
        <v>0</v>
      </c>
      <c r="O81" s="19"/>
      <c r="P81" s="20"/>
      <c r="Q81" s="20"/>
      <c r="R81" s="20"/>
      <c r="S81" s="20"/>
      <c r="T81" s="21"/>
      <c r="U81" s="22"/>
      <c r="V81" s="23"/>
      <c r="W81" s="24"/>
      <c r="X81" s="25"/>
      <c r="Y81" s="26"/>
      <c r="Z81" s="27">
        <f t="shared" si="7"/>
        <v>0</v>
      </c>
    </row>
    <row r="82" spans="1:26" x14ac:dyDescent="0.3">
      <c r="A82" s="8" t="s">
        <v>96</v>
      </c>
      <c r="B82" s="9"/>
      <c r="C82" s="10"/>
      <c r="D82" s="10"/>
      <c r="E82" s="11"/>
      <c r="F82" s="12">
        <f t="shared" si="4"/>
        <v>0</v>
      </c>
      <c r="G82" s="13"/>
      <c r="H82" s="13"/>
      <c r="I82" s="14"/>
      <c r="J82" s="15">
        <f t="shared" si="5"/>
        <v>0</v>
      </c>
      <c r="K82" s="16"/>
      <c r="L82" s="16"/>
      <c r="M82" s="17"/>
      <c r="N82" s="18">
        <f t="shared" si="6"/>
        <v>0</v>
      </c>
      <c r="O82" s="19"/>
      <c r="P82" s="20"/>
      <c r="Q82" s="20"/>
      <c r="R82" s="20"/>
      <c r="S82" s="20"/>
      <c r="T82" s="21"/>
      <c r="U82" s="22"/>
      <c r="V82" s="23"/>
      <c r="W82" s="24"/>
      <c r="X82" s="25"/>
      <c r="Y82" s="26"/>
      <c r="Z82" s="27">
        <f t="shared" si="7"/>
        <v>0</v>
      </c>
    </row>
    <row r="83" spans="1:26" x14ac:dyDescent="0.3">
      <c r="A83" s="8" t="s">
        <v>97</v>
      </c>
      <c r="B83" s="9"/>
      <c r="C83" s="10"/>
      <c r="D83" s="10"/>
      <c r="E83" s="11"/>
      <c r="F83" s="12">
        <f t="shared" si="4"/>
        <v>0</v>
      </c>
      <c r="G83" s="13"/>
      <c r="H83" s="13"/>
      <c r="I83" s="14"/>
      <c r="J83" s="15">
        <f t="shared" si="5"/>
        <v>0</v>
      </c>
      <c r="K83" s="16"/>
      <c r="L83" s="16"/>
      <c r="M83" s="17"/>
      <c r="N83" s="18">
        <f t="shared" si="6"/>
        <v>0</v>
      </c>
      <c r="O83" s="19"/>
      <c r="P83" s="20"/>
      <c r="Q83" s="20"/>
      <c r="R83" s="20"/>
      <c r="S83" s="20"/>
      <c r="T83" s="21"/>
      <c r="U83" s="22"/>
      <c r="V83" s="23"/>
      <c r="W83" s="24"/>
      <c r="X83" s="25"/>
      <c r="Y83" s="26"/>
      <c r="Z83" s="27">
        <f t="shared" si="7"/>
        <v>0</v>
      </c>
    </row>
    <row r="84" spans="1:26" x14ac:dyDescent="0.3">
      <c r="A84" s="8" t="s">
        <v>98</v>
      </c>
      <c r="B84" s="9"/>
      <c r="C84" s="10"/>
      <c r="D84" s="10"/>
      <c r="E84" s="11"/>
      <c r="F84" s="12">
        <f t="shared" si="4"/>
        <v>0</v>
      </c>
      <c r="G84" s="13"/>
      <c r="H84" s="13"/>
      <c r="I84" s="14"/>
      <c r="J84" s="15">
        <f t="shared" si="5"/>
        <v>0</v>
      </c>
      <c r="K84" s="16"/>
      <c r="L84" s="16"/>
      <c r="M84" s="17"/>
      <c r="N84" s="18">
        <f t="shared" si="6"/>
        <v>0</v>
      </c>
      <c r="O84" s="19"/>
      <c r="P84" s="20"/>
      <c r="Q84" s="20"/>
      <c r="R84" s="20"/>
      <c r="S84" s="20"/>
      <c r="T84" s="21"/>
      <c r="U84" s="22"/>
      <c r="V84" s="23"/>
      <c r="W84" s="24"/>
      <c r="X84" s="25"/>
      <c r="Y84" s="26"/>
      <c r="Z84" s="27">
        <f t="shared" si="7"/>
        <v>0</v>
      </c>
    </row>
    <row r="85" spans="1:26" x14ac:dyDescent="0.3">
      <c r="A85" s="8" t="s">
        <v>99</v>
      </c>
      <c r="B85" s="9"/>
      <c r="C85" s="10"/>
      <c r="D85" s="10"/>
      <c r="E85" s="11"/>
      <c r="F85" s="12">
        <f t="shared" si="4"/>
        <v>0</v>
      </c>
      <c r="G85" s="13"/>
      <c r="H85" s="13"/>
      <c r="I85" s="14"/>
      <c r="J85" s="15">
        <f t="shared" si="5"/>
        <v>0</v>
      </c>
      <c r="K85" s="16"/>
      <c r="L85" s="16"/>
      <c r="M85" s="17"/>
      <c r="N85" s="18">
        <f t="shared" si="6"/>
        <v>0</v>
      </c>
      <c r="O85" s="19"/>
      <c r="P85" s="20"/>
      <c r="Q85" s="20"/>
      <c r="R85" s="20"/>
      <c r="S85" s="20"/>
      <c r="T85" s="21"/>
      <c r="U85" s="22"/>
      <c r="V85" s="23"/>
      <c r="W85" s="24"/>
      <c r="X85" s="25"/>
      <c r="Y85" s="26"/>
      <c r="Z85" s="27">
        <f t="shared" si="7"/>
        <v>0</v>
      </c>
    </row>
    <row r="86" spans="1:26" x14ac:dyDescent="0.3">
      <c r="A86" s="107" t="s">
        <v>100</v>
      </c>
      <c r="B86" s="108"/>
      <c r="C86" s="28"/>
      <c r="D86" s="28"/>
      <c r="E86" s="28"/>
      <c r="F86" s="29">
        <f>SUM(F80:F85)</f>
        <v>0</v>
      </c>
      <c r="G86" s="28"/>
      <c r="H86" s="28"/>
      <c r="I86" s="28"/>
      <c r="J86" s="30">
        <f>SUM(J80:J85)</f>
        <v>0</v>
      </c>
      <c r="K86" s="28"/>
      <c r="L86" s="28"/>
      <c r="M86" s="28"/>
      <c r="N86" s="31">
        <f>SUM(N80:N85)</f>
        <v>0</v>
      </c>
      <c r="O86" s="28"/>
      <c r="P86" s="28"/>
      <c r="Q86" s="28"/>
      <c r="R86" s="28"/>
      <c r="S86" s="28"/>
      <c r="T86" s="28"/>
      <c r="U86" s="28"/>
      <c r="V86" s="32">
        <f>SUM(V80:V85)</f>
        <v>0</v>
      </c>
      <c r="W86" s="28"/>
      <c r="X86" s="33">
        <f>SUM(X80:X85)</f>
        <v>0</v>
      </c>
      <c r="Y86" s="28"/>
      <c r="Z86" s="34">
        <f>SUM(Z80:Z85)</f>
        <v>0</v>
      </c>
    </row>
    <row r="88" spans="1:26" x14ac:dyDescent="0.3">
      <c r="A88" s="129" t="s">
        <v>101</v>
      </c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</row>
    <row r="89" spans="1:26" x14ac:dyDescent="0.3">
      <c r="A89" s="8" t="s">
        <v>102</v>
      </c>
      <c r="B89" s="9"/>
      <c r="C89" s="10"/>
      <c r="D89" s="10"/>
      <c r="E89" s="11"/>
      <c r="F89" s="12">
        <f>IF(OR(C89="",D89="",E89=""),0,C89*D89*E89)</f>
        <v>0</v>
      </c>
      <c r="G89" s="13"/>
      <c r="H89" s="13"/>
      <c r="I89" s="14"/>
      <c r="J89" s="15">
        <f>IF(OR(G89="",H89="",I89=""),0,G89*H89*I89)</f>
        <v>0</v>
      </c>
      <c r="K89" s="16"/>
      <c r="L89" s="16"/>
      <c r="M89" s="17"/>
      <c r="N89" s="18">
        <f>IF(OR(K89="",L89="",M89=""),0,K89*L89*M89)</f>
        <v>0</v>
      </c>
      <c r="O89" s="19"/>
      <c r="P89" s="20"/>
      <c r="Q89" s="20"/>
      <c r="R89" s="20"/>
      <c r="S89" s="20"/>
      <c r="T89" s="21"/>
      <c r="U89" s="22"/>
      <c r="V89" s="23"/>
      <c r="W89" s="24"/>
      <c r="X89" s="25"/>
      <c r="Y89" s="26"/>
      <c r="Z89" s="27">
        <f>IF(N89=0,0,N89-IF(V89="",0,V89))</f>
        <v>0</v>
      </c>
    </row>
    <row r="90" spans="1:26" x14ac:dyDescent="0.3">
      <c r="A90" s="132" t="s">
        <v>103</v>
      </c>
      <c r="B90" s="108"/>
      <c r="C90" s="28"/>
      <c r="D90" s="28"/>
      <c r="E90" s="28"/>
      <c r="F90" s="29">
        <f>SUM(F89:F89)</f>
        <v>0</v>
      </c>
      <c r="G90" s="28"/>
      <c r="H90" s="28"/>
      <c r="I90" s="28"/>
      <c r="J90" s="30">
        <f>SUM(J89:J89)</f>
        <v>0</v>
      </c>
      <c r="K90" s="28"/>
      <c r="L90" s="28"/>
      <c r="M90" s="28"/>
      <c r="N90" s="31">
        <f>SUM(N89:N89)</f>
        <v>0</v>
      </c>
      <c r="O90" s="28"/>
      <c r="P90" s="28"/>
      <c r="Q90" s="28"/>
      <c r="R90" s="28"/>
      <c r="S90" s="28"/>
      <c r="T90" s="28"/>
      <c r="U90" s="28"/>
      <c r="V90" s="32">
        <f>SUM(V89:V89)</f>
        <v>0</v>
      </c>
      <c r="W90" s="28"/>
      <c r="X90" s="33">
        <f>SUM(X89:X89)</f>
        <v>0</v>
      </c>
      <c r="Y90" s="28"/>
      <c r="Z90" s="34">
        <f>SUM(Z89:Z89)</f>
        <v>0</v>
      </c>
    </row>
    <row r="92" spans="1:26" ht="15.6" customHeight="1" x14ac:dyDescent="0.3">
      <c r="A92" s="170" t="s">
        <v>104</v>
      </c>
      <c r="B92" s="108"/>
      <c r="C92" s="35"/>
      <c r="D92" s="35"/>
      <c r="E92" s="35"/>
      <c r="F92" s="36">
        <f>F12+F18+F24+F32+F38+F46+F52+F58+F66+F77+F86+F90</f>
        <v>0</v>
      </c>
      <c r="G92" s="35"/>
      <c r="H92" s="35"/>
      <c r="I92" s="35"/>
      <c r="J92" s="37">
        <f>J12+J18+J24+J32+J38+J46+J52+J58+J66+J77+J86+J90</f>
        <v>0</v>
      </c>
      <c r="K92" s="35"/>
      <c r="L92" s="35"/>
      <c r="M92" s="35"/>
      <c r="N92" s="38">
        <f>N12+N18+N24+N32+N38+N46+N52+N58+N66+N77+N86+N90</f>
        <v>0</v>
      </c>
      <c r="O92" s="35"/>
      <c r="P92" s="35"/>
      <c r="Q92" s="35"/>
      <c r="R92" s="35"/>
      <c r="S92" s="35"/>
      <c r="T92" s="35"/>
      <c r="U92" s="35"/>
      <c r="V92" s="39">
        <f>V12+V18+V24+V32+V38+V46+V52+V58+V66+V77+V86+V90</f>
        <v>0</v>
      </c>
      <c r="W92" s="35"/>
      <c r="X92" s="40">
        <f>X12+X18+X24+X32+X38+X46+X52+X58+X66+X77+X86+X90</f>
        <v>0</v>
      </c>
      <c r="Y92" s="35"/>
      <c r="Z92" s="41">
        <f>Z12+Z18+Z24+Z32+Z38+Z46+Z52+Z58+Z66+Z77+Z86+Z90</f>
        <v>0</v>
      </c>
    </row>
    <row r="94" spans="1:26" ht="15" customHeight="1" thickBot="1" x14ac:dyDescent="0.35"/>
    <row r="95" spans="1:26" ht="19.95" customHeight="1" thickBot="1" x14ac:dyDescent="0.35">
      <c r="A95" s="160" t="s">
        <v>105</v>
      </c>
      <c r="B95" s="161"/>
      <c r="C95" s="161"/>
      <c r="D95" s="161"/>
      <c r="E95" s="161"/>
      <c r="F95" s="161"/>
      <c r="G95" s="161"/>
      <c r="H95" s="161"/>
      <c r="I95" s="161"/>
      <c r="J95" s="162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</row>
    <row r="96" spans="1:26" ht="22.05" customHeight="1" thickBot="1" x14ac:dyDescent="0.35">
      <c r="A96" s="167" t="s">
        <v>9</v>
      </c>
      <c r="B96" s="166" t="s">
        <v>10</v>
      </c>
      <c r="C96" s="130" t="s">
        <v>11</v>
      </c>
      <c r="D96" s="121"/>
      <c r="E96" s="121"/>
      <c r="F96" s="131"/>
      <c r="G96" s="134" t="s">
        <v>106</v>
      </c>
      <c r="H96" s="121"/>
      <c r="I96" s="121"/>
      <c r="J96" s="131"/>
    </row>
    <row r="97" spans="1:10" ht="19.95" customHeight="1" thickBot="1" x14ac:dyDescent="0.35">
      <c r="A97" s="158"/>
      <c r="B97" s="158"/>
      <c r="C97" s="93" t="s">
        <v>18</v>
      </c>
      <c r="D97" s="93" t="s">
        <v>19</v>
      </c>
      <c r="E97" s="93" t="s">
        <v>20</v>
      </c>
      <c r="F97" s="93" t="s">
        <v>21</v>
      </c>
      <c r="G97" s="94" t="s">
        <v>18</v>
      </c>
      <c r="H97" s="94" t="s">
        <v>19</v>
      </c>
      <c r="I97" s="94" t="s">
        <v>20</v>
      </c>
      <c r="J97" s="94" t="s">
        <v>21</v>
      </c>
    </row>
    <row r="98" spans="1:10" ht="18" customHeight="1" x14ac:dyDescent="0.3">
      <c r="A98" s="166" t="s">
        <v>107</v>
      </c>
      <c r="B98" s="70" t="s">
        <v>108</v>
      </c>
      <c r="C98" s="71"/>
      <c r="D98" s="71"/>
      <c r="E98" s="95"/>
      <c r="F98" s="72">
        <f>IF(OR(C98="",D98="",E98=""),0,C98*D98*E98)</f>
        <v>0</v>
      </c>
      <c r="G98" s="73"/>
      <c r="H98" s="73"/>
      <c r="I98" s="96"/>
      <c r="J98" s="74">
        <f>IF(OR(G98="",H98="",I98=""),0,G98*H98*I98)</f>
        <v>0</v>
      </c>
    </row>
    <row r="99" spans="1:10" ht="18" customHeight="1" x14ac:dyDescent="0.3">
      <c r="A99" s="157"/>
      <c r="B99" s="70" t="s">
        <v>109</v>
      </c>
      <c r="C99" s="71"/>
      <c r="D99" s="71"/>
      <c r="E99" s="95"/>
      <c r="F99" s="72">
        <f>IF(OR(C99="",D99="",E99=""),0,C99*D99*E99)</f>
        <v>0</v>
      </c>
      <c r="G99" s="73"/>
      <c r="H99" s="73"/>
      <c r="I99" s="96"/>
      <c r="J99" s="74">
        <f>IF(OR(G99="",H99="",I99=""),0,G99*H99*I99)</f>
        <v>0</v>
      </c>
    </row>
    <row r="100" spans="1:10" ht="18" customHeight="1" x14ac:dyDescent="0.3">
      <c r="A100" s="157"/>
      <c r="B100" s="70" t="s">
        <v>110</v>
      </c>
      <c r="C100" s="71"/>
      <c r="D100" s="71"/>
      <c r="E100" s="95"/>
      <c r="F100" s="72">
        <f>IF(OR(C100="",D100="",E100=""),0,C100*D100*E100)</f>
        <v>0</v>
      </c>
      <c r="G100" s="73"/>
      <c r="H100" s="73"/>
      <c r="I100" s="96"/>
      <c r="J100" s="74">
        <f>IF(OR(G100="",H100="",I100=""),0,G100*H100*I100)</f>
        <v>0</v>
      </c>
    </row>
    <row r="101" spans="1:10" ht="18" customHeight="1" x14ac:dyDescent="0.3">
      <c r="A101" s="157"/>
      <c r="B101" s="70" t="s">
        <v>111</v>
      </c>
      <c r="C101" s="71"/>
      <c r="D101" s="71"/>
      <c r="E101" s="95"/>
      <c r="F101" s="72">
        <f>IF(OR(C101="",D101="",E101=""),0,C101*D101*E101)</f>
        <v>0</v>
      </c>
      <c r="G101" s="73"/>
      <c r="H101" s="73"/>
      <c r="I101" s="96"/>
      <c r="J101" s="74">
        <f>IF(OR(G101="",H101="",I101=""),0,G101*H101*I101)</f>
        <v>0</v>
      </c>
    </row>
    <row r="102" spans="1:10" ht="18" customHeight="1" thickBot="1" x14ac:dyDescent="0.35">
      <c r="A102" s="158"/>
      <c r="B102" s="70" t="s">
        <v>112</v>
      </c>
      <c r="C102" s="71"/>
      <c r="D102" s="71"/>
      <c r="E102" s="95"/>
      <c r="F102" s="72">
        <f>IF(OR(C102="",D102="",E102=""),0,C102*D102*E102)</f>
        <v>0</v>
      </c>
      <c r="G102" s="73"/>
      <c r="H102" s="73"/>
      <c r="I102" s="96"/>
      <c r="J102" s="74">
        <f>IF(OR(G102="",H102="",I102=""),0,G102*H102*I102)</f>
        <v>0</v>
      </c>
    </row>
    <row r="103" spans="1:10" ht="22.05" customHeight="1" thickBot="1" x14ac:dyDescent="0.35">
      <c r="A103" s="75" t="s">
        <v>113</v>
      </c>
      <c r="B103" s="76"/>
      <c r="C103" s="77">
        <f>SUM(C98:C102)</f>
        <v>0</v>
      </c>
      <c r="D103" s="77"/>
      <c r="E103" s="97"/>
      <c r="F103" s="78">
        <f>SUM(F98:F102)</f>
        <v>0</v>
      </c>
      <c r="G103" s="79">
        <f>SUM(G98:G102)</f>
        <v>0</v>
      </c>
      <c r="H103" s="79"/>
      <c r="I103" s="80"/>
      <c r="J103" s="81">
        <f>SUM(J98:J102)</f>
        <v>0</v>
      </c>
    </row>
    <row r="104" spans="1:10" ht="18" customHeight="1" x14ac:dyDescent="0.3">
      <c r="A104" s="156" t="s">
        <v>114</v>
      </c>
      <c r="B104" s="82" t="s">
        <v>115</v>
      </c>
      <c r="C104" s="71"/>
      <c r="D104" s="71"/>
      <c r="E104" s="95"/>
      <c r="F104" s="72">
        <f t="shared" ref="F104:F113" si="8">IF(OR(C104="",D104="",E104=""),0,C104*D104*E104)</f>
        <v>0</v>
      </c>
      <c r="G104" s="73"/>
      <c r="H104" s="73"/>
      <c r="I104" s="96"/>
      <c r="J104" s="74">
        <f t="shared" ref="J104:J113" si="9">IF(OR(G104="",H104="",I104=""),0,G104*H104*I104)</f>
        <v>0</v>
      </c>
    </row>
    <row r="105" spans="1:10" ht="18" customHeight="1" x14ac:dyDescent="0.3">
      <c r="A105" s="157"/>
      <c r="B105" s="82" t="s">
        <v>116</v>
      </c>
      <c r="C105" s="71"/>
      <c r="D105" s="71"/>
      <c r="E105" s="95"/>
      <c r="F105" s="72">
        <f t="shared" si="8"/>
        <v>0</v>
      </c>
      <c r="G105" s="73"/>
      <c r="H105" s="73"/>
      <c r="I105" s="96"/>
      <c r="J105" s="74">
        <f t="shared" si="9"/>
        <v>0</v>
      </c>
    </row>
    <row r="106" spans="1:10" ht="18" customHeight="1" x14ac:dyDescent="0.3">
      <c r="A106" s="157"/>
      <c r="B106" s="82" t="s">
        <v>117</v>
      </c>
      <c r="C106" s="71"/>
      <c r="D106" s="71"/>
      <c r="E106" s="95"/>
      <c r="F106" s="72">
        <f t="shared" si="8"/>
        <v>0</v>
      </c>
      <c r="G106" s="73"/>
      <c r="H106" s="73"/>
      <c r="I106" s="96"/>
      <c r="J106" s="74">
        <f t="shared" si="9"/>
        <v>0</v>
      </c>
    </row>
    <row r="107" spans="1:10" ht="18" customHeight="1" x14ac:dyDescent="0.3">
      <c r="A107" s="157"/>
      <c r="B107" s="82" t="s">
        <v>118</v>
      </c>
      <c r="C107" s="71"/>
      <c r="D107" s="71"/>
      <c r="E107" s="95"/>
      <c r="F107" s="72">
        <f t="shared" si="8"/>
        <v>0</v>
      </c>
      <c r="G107" s="73"/>
      <c r="H107" s="73"/>
      <c r="I107" s="96"/>
      <c r="J107" s="74">
        <f t="shared" si="9"/>
        <v>0</v>
      </c>
    </row>
    <row r="108" spans="1:10" ht="18" customHeight="1" x14ac:dyDescent="0.3">
      <c r="A108" s="157"/>
      <c r="B108" s="82" t="s">
        <v>119</v>
      </c>
      <c r="C108" s="71"/>
      <c r="D108" s="71"/>
      <c r="E108" s="95"/>
      <c r="F108" s="72">
        <f t="shared" si="8"/>
        <v>0</v>
      </c>
      <c r="G108" s="73"/>
      <c r="H108" s="73"/>
      <c r="I108" s="96"/>
      <c r="J108" s="74">
        <f t="shared" si="9"/>
        <v>0</v>
      </c>
    </row>
    <row r="109" spans="1:10" ht="18" customHeight="1" x14ac:dyDescent="0.3">
      <c r="A109" s="157"/>
      <c r="B109" s="82" t="s">
        <v>120</v>
      </c>
      <c r="C109" s="71"/>
      <c r="D109" s="71"/>
      <c r="E109" s="95"/>
      <c r="F109" s="72">
        <f t="shared" si="8"/>
        <v>0</v>
      </c>
      <c r="G109" s="73"/>
      <c r="H109" s="73"/>
      <c r="I109" s="96"/>
      <c r="J109" s="74">
        <f t="shared" si="9"/>
        <v>0</v>
      </c>
    </row>
    <row r="110" spans="1:10" ht="18" customHeight="1" x14ac:dyDescent="0.3">
      <c r="A110" s="157"/>
      <c r="B110" s="82" t="s">
        <v>121</v>
      </c>
      <c r="C110" s="71"/>
      <c r="D110" s="71"/>
      <c r="E110" s="95"/>
      <c r="F110" s="72">
        <f t="shared" si="8"/>
        <v>0</v>
      </c>
      <c r="G110" s="73"/>
      <c r="H110" s="73"/>
      <c r="I110" s="96"/>
      <c r="J110" s="74">
        <f t="shared" si="9"/>
        <v>0</v>
      </c>
    </row>
    <row r="111" spans="1:10" ht="18" customHeight="1" x14ac:dyDescent="0.3">
      <c r="A111" s="157"/>
      <c r="B111" s="82" t="s">
        <v>122</v>
      </c>
      <c r="C111" s="71"/>
      <c r="D111" s="71"/>
      <c r="E111" s="95"/>
      <c r="F111" s="72">
        <f t="shared" si="8"/>
        <v>0</v>
      </c>
      <c r="G111" s="73"/>
      <c r="H111" s="73"/>
      <c r="I111" s="96"/>
      <c r="J111" s="74">
        <f t="shared" si="9"/>
        <v>0</v>
      </c>
    </row>
    <row r="112" spans="1:10" ht="18" customHeight="1" x14ac:dyDescent="0.3">
      <c r="A112" s="157"/>
      <c r="B112" s="82" t="s">
        <v>123</v>
      </c>
      <c r="C112" s="71"/>
      <c r="D112" s="71"/>
      <c r="E112" s="95"/>
      <c r="F112" s="72">
        <f t="shared" si="8"/>
        <v>0</v>
      </c>
      <c r="G112" s="73"/>
      <c r="H112" s="73"/>
      <c r="I112" s="96"/>
      <c r="J112" s="74">
        <f t="shared" si="9"/>
        <v>0</v>
      </c>
    </row>
    <row r="113" spans="1:26" ht="18" customHeight="1" thickBot="1" x14ac:dyDescent="0.35">
      <c r="A113" s="158"/>
      <c r="B113" s="82"/>
      <c r="C113" s="71"/>
      <c r="D113" s="71"/>
      <c r="E113" s="95"/>
      <c r="F113" s="72">
        <f t="shared" si="8"/>
        <v>0</v>
      </c>
      <c r="G113" s="73"/>
      <c r="H113" s="73"/>
      <c r="I113" s="96"/>
      <c r="J113" s="74">
        <f t="shared" si="9"/>
        <v>0</v>
      </c>
    </row>
    <row r="114" spans="1:26" ht="22.05" customHeight="1" x14ac:dyDescent="0.3">
      <c r="A114" s="83" t="s">
        <v>124</v>
      </c>
      <c r="B114" s="84"/>
      <c r="C114" s="77"/>
      <c r="D114" s="77"/>
      <c r="E114" s="97"/>
      <c r="F114" s="78">
        <f>SUM(F104:F113)</f>
        <v>0</v>
      </c>
      <c r="G114" s="79"/>
      <c r="H114" s="79"/>
      <c r="I114" s="80"/>
      <c r="J114" s="81">
        <f>SUM(J104:J113)</f>
        <v>0</v>
      </c>
    </row>
    <row r="115" spans="1:26" ht="22.05" customHeight="1" thickBot="1" x14ac:dyDescent="0.35">
      <c r="A115" s="85" t="s">
        <v>125</v>
      </c>
      <c r="B115" s="86"/>
      <c r="C115" s="87"/>
      <c r="D115" s="87"/>
      <c r="E115" s="88"/>
      <c r="F115" s="88"/>
      <c r="G115" s="87"/>
      <c r="H115" s="87"/>
      <c r="I115" s="88"/>
      <c r="J115" s="89"/>
    </row>
    <row r="116" spans="1:26" ht="18" customHeight="1" x14ac:dyDescent="0.3">
      <c r="A116" s="70" t="s">
        <v>126</v>
      </c>
      <c r="B116" s="70"/>
      <c r="C116" s="71"/>
      <c r="D116" s="71"/>
      <c r="E116" s="95"/>
      <c r="F116" s="72">
        <f>IF(OR(C116="",D116="",E116=""),0,C116*D116*E116)</f>
        <v>0</v>
      </c>
      <c r="G116" s="73"/>
      <c r="H116" s="73"/>
      <c r="I116" s="96"/>
      <c r="J116" s="74">
        <f>IF(OR(G116="",H116="",I116=""),0,G116*H116*I116)</f>
        <v>0</v>
      </c>
    </row>
    <row r="117" spans="1:26" ht="18" customHeight="1" thickBot="1" x14ac:dyDescent="0.35">
      <c r="A117" s="70" t="s">
        <v>120</v>
      </c>
      <c r="B117" s="70"/>
      <c r="C117" s="71"/>
      <c r="D117" s="71"/>
      <c r="E117" s="95"/>
      <c r="F117" s="72">
        <f>IF(OR(C117="",D117="",E117=""),0,C117*D117*E117)</f>
        <v>0</v>
      </c>
      <c r="G117" s="73"/>
      <c r="H117" s="73"/>
      <c r="I117" s="96"/>
      <c r="J117" s="74">
        <f>IF(OR(G117="",H117="",I117=""),0,G117*H117*I117)</f>
        <v>0</v>
      </c>
    </row>
    <row r="118" spans="1:26" ht="24" customHeight="1" thickBot="1" x14ac:dyDescent="0.35">
      <c r="A118" s="137" t="s">
        <v>127</v>
      </c>
      <c r="B118" s="138"/>
      <c r="C118" s="90"/>
      <c r="D118" s="90"/>
      <c r="E118" s="91"/>
      <c r="F118" s="92">
        <f>F114+F103+F116+F117</f>
        <v>0</v>
      </c>
      <c r="G118" s="90"/>
      <c r="H118" s="90"/>
      <c r="I118" s="91"/>
      <c r="J118" s="92">
        <f>J114+J103+J116+J117</f>
        <v>0</v>
      </c>
    </row>
    <row r="120" spans="1:26" ht="17.399999999999999" x14ac:dyDescent="0.3">
      <c r="A120" s="105" t="s">
        <v>495</v>
      </c>
      <c r="B120" s="106"/>
      <c r="C120" s="106"/>
      <c r="D120" s="106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</row>
    <row r="121" spans="1:26" x14ac:dyDescent="0.3">
      <c r="A121" s="98" t="s">
        <v>496</v>
      </c>
      <c r="B121" s="99"/>
      <c r="C121" s="99"/>
      <c r="D121" s="100">
        <v>0</v>
      </c>
      <c r="E121" s="100"/>
      <c r="F121" s="100"/>
      <c r="G121" s="101" t="s">
        <v>497</v>
      </c>
      <c r="H121" s="99"/>
      <c r="I121" s="99"/>
      <c r="J121" s="102">
        <v>0</v>
      </c>
      <c r="K121" s="102"/>
      <c r="L121" s="102"/>
      <c r="M121" s="103" t="s">
        <v>498</v>
      </c>
      <c r="N121" s="99"/>
      <c r="O121" s="104">
        <v>0</v>
      </c>
      <c r="P121" s="104"/>
    </row>
    <row r="122" spans="1:26" x14ac:dyDescent="0.3">
      <c r="A122" s="98" t="s">
        <v>499</v>
      </c>
      <c r="B122" s="99"/>
      <c r="C122" s="99"/>
      <c r="D122" s="100">
        <v>0</v>
      </c>
      <c r="E122" s="100"/>
      <c r="F122" s="100"/>
      <c r="G122" s="101" t="s">
        <v>500</v>
      </c>
      <c r="H122" s="99"/>
      <c r="I122" s="99"/>
      <c r="J122" s="102">
        <v>0</v>
      </c>
      <c r="K122" s="102"/>
      <c r="L122" s="102"/>
      <c r="M122" s="103" t="s">
        <v>501</v>
      </c>
      <c r="N122" s="99"/>
      <c r="O122" s="104">
        <v>0</v>
      </c>
      <c r="P122" s="104"/>
    </row>
    <row r="124" spans="1:26" x14ac:dyDescent="0.3">
      <c r="A124" s="128" t="s">
        <v>128</v>
      </c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</row>
    <row r="125" spans="1:26" x14ac:dyDescent="0.3">
      <c r="A125" s="42" t="s">
        <v>129</v>
      </c>
      <c r="C125" s="43" t="s">
        <v>130</v>
      </c>
      <c r="E125" s="44" t="s">
        <v>131</v>
      </c>
      <c r="G125" s="45" t="s">
        <v>132</v>
      </c>
      <c r="I125" s="46" t="s">
        <v>133</v>
      </c>
    </row>
    <row r="126" spans="1:26" x14ac:dyDescent="0.3">
      <c r="A126" s="42" t="s">
        <v>134</v>
      </c>
      <c r="C126" s="47" t="s">
        <v>135</v>
      </c>
      <c r="E126" s="48" t="s">
        <v>136</v>
      </c>
      <c r="G126" s="49" t="s">
        <v>137</v>
      </c>
      <c r="I126" s="50" t="s">
        <v>138</v>
      </c>
      <c r="K126" s="51" t="s">
        <v>131</v>
      </c>
    </row>
  </sheetData>
  <mergeCells count="75">
    <mergeCell ref="A104:A113"/>
    <mergeCell ref="H4:J4"/>
    <mergeCell ref="C4:E4"/>
    <mergeCell ref="B7:B8"/>
    <mergeCell ref="A20:Z20"/>
    <mergeCell ref="A95:J95"/>
    <mergeCell ref="A58:B58"/>
    <mergeCell ref="A77:B77"/>
    <mergeCell ref="O7:S7"/>
    <mergeCell ref="A98:A102"/>
    <mergeCell ref="A96:A97"/>
    <mergeCell ref="G7:J7"/>
    <mergeCell ref="A26:Z26"/>
    <mergeCell ref="A92:B92"/>
    <mergeCell ref="B96:B97"/>
    <mergeCell ref="A68:Z68"/>
    <mergeCell ref="A52:B52"/>
    <mergeCell ref="C5:E5"/>
    <mergeCell ref="A34:Z34"/>
    <mergeCell ref="T7:W7"/>
    <mergeCell ref="A7:A8"/>
    <mergeCell ref="A48:Z48"/>
    <mergeCell ref="C7:F7"/>
    <mergeCell ref="K7:N7"/>
    <mergeCell ref="Z7:Z8"/>
    <mergeCell ref="K5:N5"/>
    <mergeCell ref="C3:E3"/>
    <mergeCell ref="A4:B4"/>
    <mergeCell ref="A38:B38"/>
    <mergeCell ref="A14:Z14"/>
    <mergeCell ref="A9:Z9"/>
    <mergeCell ref="A124:Z124"/>
    <mergeCell ref="A88:Z88"/>
    <mergeCell ref="K3:N3"/>
    <mergeCell ref="C96:F96"/>
    <mergeCell ref="A90:B90"/>
    <mergeCell ref="A79:Z79"/>
    <mergeCell ref="F5:G5"/>
    <mergeCell ref="G96:J96"/>
    <mergeCell ref="A46:B46"/>
    <mergeCell ref="A66:B66"/>
    <mergeCell ref="A118:B118"/>
    <mergeCell ref="A54:Z54"/>
    <mergeCell ref="H3:J3"/>
    <mergeCell ref="A18:B18"/>
    <mergeCell ref="A3:B3"/>
    <mergeCell ref="A86:B86"/>
    <mergeCell ref="X1:AA1"/>
    <mergeCell ref="A60:Z60"/>
    <mergeCell ref="F3:G3"/>
    <mergeCell ref="X7:Y7"/>
    <mergeCell ref="K4:N4"/>
    <mergeCell ref="C1:V1"/>
    <mergeCell ref="X2:AA2"/>
    <mergeCell ref="A12:B12"/>
    <mergeCell ref="H5:J5"/>
    <mergeCell ref="A5:B5"/>
    <mergeCell ref="A32:B32"/>
    <mergeCell ref="A1:B2"/>
    <mergeCell ref="F4:G4"/>
    <mergeCell ref="A24:B24"/>
    <mergeCell ref="A40:Z40"/>
    <mergeCell ref="O122:P122"/>
    <mergeCell ref="O121:P121"/>
    <mergeCell ref="A120:P120"/>
    <mergeCell ref="A121:C121"/>
    <mergeCell ref="D121:F121"/>
    <mergeCell ref="G121:I121"/>
    <mergeCell ref="J121:L121"/>
    <mergeCell ref="M121:N121"/>
    <mergeCell ref="A122:C122"/>
    <mergeCell ref="D122:F122"/>
    <mergeCell ref="G122:I122"/>
    <mergeCell ref="J122:L122"/>
    <mergeCell ref="M122:N122"/>
  </mergeCells>
  <conditionalFormatting sqref="O10:O11 O15:O17 O41:O45">
    <cfRule type="containsText" dxfId="139" priority="16" operator="containsText" text="Aprovado">
      <formula>NOT(ISERROR(SEARCH("Aprovado",O10)))</formula>
    </cfRule>
    <cfRule type="containsText" dxfId="138" priority="17" operator="containsText" text="Aguardando Aprovação">
      <formula>NOT(ISERROR(SEARCH("Aguardando Aprovação",O10)))</formula>
    </cfRule>
    <cfRule type="containsText" dxfId="137" priority="18" operator="containsText" text="Negociação">
      <formula>NOT(ISERROR(SEARCH("Negociação",O10)))</formula>
    </cfRule>
    <cfRule type="containsText" dxfId="136" priority="19" operator="containsText" text="Em Cotação">
      <formula>NOT(ISERROR(SEARCH("Em Cotação",O10)))</formula>
    </cfRule>
  </conditionalFormatting>
  <conditionalFormatting sqref="O21:O23">
    <cfRule type="containsText" dxfId="135" priority="86" operator="containsText" text="Aprovado">
      <formula>NOT(ISERROR(SEARCH("Aprovado",O21)))</formula>
    </cfRule>
    <cfRule type="containsText" dxfId="134" priority="87" operator="containsText" text="Aguardando Aprovação">
      <formula>NOT(ISERROR(SEARCH("Aguardando Aprovação",O21)))</formula>
    </cfRule>
    <cfRule type="containsText" dxfId="133" priority="88" operator="containsText" text="Negociação">
      <formula>NOT(ISERROR(SEARCH("Negociação",O21)))</formula>
    </cfRule>
    <cfRule type="containsText" dxfId="132" priority="89" operator="containsText" text="Em Cotação">
      <formula>NOT(ISERROR(SEARCH("Em Cotação",O21)))</formula>
    </cfRule>
  </conditionalFormatting>
  <conditionalFormatting sqref="O27:O31">
    <cfRule type="containsText" dxfId="131" priority="128" operator="containsText" text="Aprovado">
      <formula>NOT(ISERROR(SEARCH("Aprovado",O27)))</formula>
    </cfRule>
    <cfRule type="containsText" dxfId="130" priority="129" operator="containsText" text="Aguardando Aprovação">
      <formula>NOT(ISERROR(SEARCH("Aguardando Aprovação",O27)))</formula>
    </cfRule>
    <cfRule type="containsText" dxfId="129" priority="130" operator="containsText" text="Negociação">
      <formula>NOT(ISERROR(SEARCH("Negociação",O27)))</formula>
    </cfRule>
    <cfRule type="containsText" dxfId="128" priority="131" operator="containsText" text="Em Cotação">
      <formula>NOT(ISERROR(SEARCH("Em Cotação",O27)))</formula>
    </cfRule>
  </conditionalFormatting>
  <conditionalFormatting sqref="O35:O37">
    <cfRule type="containsText" dxfId="127" priority="198" operator="containsText" text="Aprovado">
      <formula>NOT(ISERROR(SEARCH("Aprovado",O35)))</formula>
    </cfRule>
    <cfRule type="containsText" dxfId="126" priority="199" operator="containsText" text="Aguardando Aprovação">
      <formula>NOT(ISERROR(SEARCH("Aguardando Aprovação",O35)))</formula>
    </cfRule>
    <cfRule type="containsText" dxfId="125" priority="200" operator="containsText" text="Negociação">
      <formula>NOT(ISERROR(SEARCH("Negociação",O35)))</formula>
    </cfRule>
    <cfRule type="containsText" dxfId="124" priority="201" operator="containsText" text="Em Cotação">
      <formula>NOT(ISERROR(SEARCH("Em Cotação",O35)))</formula>
    </cfRule>
  </conditionalFormatting>
  <conditionalFormatting sqref="O49:O51">
    <cfRule type="containsText" dxfId="123" priority="310" operator="containsText" text="Aprovado">
      <formula>NOT(ISERROR(SEARCH("Aprovado",O49)))</formula>
    </cfRule>
    <cfRule type="containsText" dxfId="122" priority="311" operator="containsText" text="Aguardando Aprovação">
      <formula>NOT(ISERROR(SEARCH("Aguardando Aprovação",O49)))</formula>
    </cfRule>
    <cfRule type="containsText" dxfId="121" priority="312" operator="containsText" text="Negociação">
      <formula>NOT(ISERROR(SEARCH("Negociação",O49)))</formula>
    </cfRule>
    <cfRule type="containsText" dxfId="120" priority="313" operator="containsText" text="Em Cotação">
      <formula>NOT(ISERROR(SEARCH("Em Cotação",O49)))</formula>
    </cfRule>
  </conditionalFormatting>
  <conditionalFormatting sqref="O55:O57">
    <cfRule type="containsText" dxfId="119" priority="352" operator="containsText" text="Aprovado">
      <formula>NOT(ISERROR(SEARCH("Aprovado",O55)))</formula>
    </cfRule>
    <cfRule type="containsText" dxfId="118" priority="353" operator="containsText" text="Aguardando Aprovação">
      <formula>NOT(ISERROR(SEARCH("Aguardando Aprovação",O55)))</formula>
    </cfRule>
    <cfRule type="containsText" dxfId="117" priority="354" operator="containsText" text="Negociação">
      <formula>NOT(ISERROR(SEARCH("Negociação",O55)))</formula>
    </cfRule>
    <cfRule type="containsText" dxfId="116" priority="355" operator="containsText" text="Em Cotação">
      <formula>NOT(ISERROR(SEARCH("Em Cotação",O55)))</formula>
    </cfRule>
  </conditionalFormatting>
  <conditionalFormatting sqref="O61:O65">
    <cfRule type="containsText" dxfId="115" priority="394" operator="containsText" text="Aprovado">
      <formula>NOT(ISERROR(SEARCH("Aprovado",O61)))</formula>
    </cfRule>
    <cfRule type="containsText" dxfId="114" priority="395" operator="containsText" text="Aguardando Aprovação">
      <formula>NOT(ISERROR(SEARCH("Aguardando Aprovação",O61)))</formula>
    </cfRule>
    <cfRule type="containsText" dxfId="113" priority="396" operator="containsText" text="Negociação">
      <formula>NOT(ISERROR(SEARCH("Negociação",O61)))</formula>
    </cfRule>
    <cfRule type="containsText" dxfId="112" priority="397" operator="containsText" text="Em Cotação">
      <formula>NOT(ISERROR(SEARCH("Em Cotação",O61)))</formula>
    </cfRule>
  </conditionalFormatting>
  <conditionalFormatting sqref="O69:O76">
    <cfRule type="containsText" dxfId="111" priority="464" operator="containsText" text="Aprovado">
      <formula>NOT(ISERROR(SEARCH("Aprovado",O69)))</formula>
    </cfRule>
    <cfRule type="containsText" dxfId="110" priority="465" operator="containsText" text="Aguardando Aprovação">
      <formula>NOT(ISERROR(SEARCH("Aguardando Aprovação",O69)))</formula>
    </cfRule>
    <cfRule type="containsText" dxfId="109" priority="466" operator="containsText" text="Negociação">
      <formula>NOT(ISERROR(SEARCH("Negociação",O69)))</formula>
    </cfRule>
    <cfRule type="containsText" dxfId="108" priority="467" operator="containsText" text="Em Cotação">
      <formula>NOT(ISERROR(SEARCH("Em Cotação",O69)))</formula>
    </cfRule>
  </conditionalFormatting>
  <conditionalFormatting sqref="O80:O85">
    <cfRule type="containsText" dxfId="107" priority="576" operator="containsText" text="Aprovado">
      <formula>NOT(ISERROR(SEARCH("Aprovado",O80)))</formula>
    </cfRule>
    <cfRule type="containsText" dxfId="106" priority="577" operator="containsText" text="Aguardando Aprovação">
      <formula>NOT(ISERROR(SEARCH("Aguardando Aprovação",O80)))</formula>
    </cfRule>
    <cfRule type="containsText" dxfId="105" priority="578" operator="containsText" text="Negociação">
      <formula>NOT(ISERROR(SEARCH("Negociação",O80)))</formula>
    </cfRule>
    <cfRule type="containsText" dxfId="104" priority="579" operator="containsText" text="Em Cotação">
      <formula>NOT(ISERROR(SEARCH("Em Cotação",O80)))</formula>
    </cfRule>
  </conditionalFormatting>
  <conditionalFormatting sqref="O89">
    <cfRule type="containsText" dxfId="103" priority="660" operator="containsText" text="Aprovado">
      <formula>NOT(ISERROR(SEARCH("Aprovado",O89)))</formula>
    </cfRule>
    <cfRule type="containsText" dxfId="102" priority="661" operator="containsText" text="Aguardando Aprovação">
      <formula>NOT(ISERROR(SEARCH("Aguardando Aprovação",O89)))</formula>
    </cfRule>
    <cfRule type="containsText" dxfId="101" priority="662" operator="containsText" text="Negociação">
      <formula>NOT(ISERROR(SEARCH("Negociação",O89)))</formula>
    </cfRule>
    <cfRule type="containsText" dxfId="100" priority="663" operator="containsText" text="Em Cotação">
      <formula>NOT(ISERROR(SEARCH("Em Cotação",O89)))</formula>
    </cfRule>
  </conditionalFormatting>
  <conditionalFormatting sqref="T10:T11 T15:T17 T41:T45">
    <cfRule type="containsText" dxfId="99" priority="20" operator="containsText" text="Solicitado">
      <formula>NOT(ISERROR(SEARCH("Solicitado",T10)))</formula>
    </cfRule>
    <cfRule type="containsText" dxfId="98" priority="21" operator="containsText" text="Recebido">
      <formula>NOT(ISERROR(SEARCH("Recebido",T10)))</formula>
    </cfRule>
    <cfRule type="containsText" dxfId="97" priority="22" operator="containsText" text="Enviado/Lançado">
      <formula>NOT(ISERROR(SEARCH("Enviado/Lançado",T10)))</formula>
    </cfRule>
    <cfRule type="containsText" dxfId="96" priority="23" operator="containsText" text="Pago">
      <formula>NOT(ISERROR(SEARCH("Pago",T10)))</formula>
    </cfRule>
    <cfRule type="containsText" dxfId="95" priority="24" operator="containsText" text="Aguardando Aprovação">
      <formula>NOT(ISERROR(SEARCH("Aguardando Aprovação",T10)))</formula>
    </cfRule>
  </conditionalFormatting>
  <conditionalFormatting sqref="T21:T23">
    <cfRule type="containsText" dxfId="94" priority="90" operator="containsText" text="Solicitado">
      <formula>NOT(ISERROR(SEARCH("Solicitado",T21)))</formula>
    </cfRule>
    <cfRule type="containsText" dxfId="93" priority="91" operator="containsText" text="Recebido">
      <formula>NOT(ISERROR(SEARCH("Recebido",T21)))</formula>
    </cfRule>
    <cfRule type="containsText" dxfId="92" priority="92" operator="containsText" text="Enviado/Lançado">
      <formula>NOT(ISERROR(SEARCH("Enviado/Lançado",T21)))</formula>
    </cfRule>
    <cfRule type="containsText" dxfId="91" priority="93" operator="containsText" text="Pago">
      <formula>NOT(ISERROR(SEARCH("Pago",T21)))</formula>
    </cfRule>
    <cfRule type="containsText" dxfId="90" priority="94" operator="containsText" text="Aguardando Aprovação">
      <formula>NOT(ISERROR(SEARCH("Aguardando Aprovação",T21)))</formula>
    </cfRule>
  </conditionalFormatting>
  <conditionalFormatting sqref="T27:T31">
    <cfRule type="containsText" dxfId="89" priority="132" operator="containsText" text="Solicitado">
      <formula>NOT(ISERROR(SEARCH("Solicitado",T27)))</formula>
    </cfRule>
    <cfRule type="containsText" dxfId="88" priority="133" operator="containsText" text="Recebido">
      <formula>NOT(ISERROR(SEARCH("Recebido",T27)))</formula>
    </cfRule>
    <cfRule type="containsText" dxfId="87" priority="134" operator="containsText" text="Enviado/Lançado">
      <formula>NOT(ISERROR(SEARCH("Enviado/Lançado",T27)))</formula>
    </cfRule>
    <cfRule type="containsText" dxfId="86" priority="135" operator="containsText" text="Pago">
      <formula>NOT(ISERROR(SEARCH("Pago",T27)))</formula>
    </cfRule>
    <cfRule type="containsText" dxfId="85" priority="136" operator="containsText" text="Aguardando Aprovação">
      <formula>NOT(ISERROR(SEARCH("Aguardando Aprovação",T27)))</formula>
    </cfRule>
  </conditionalFormatting>
  <conditionalFormatting sqref="T35:T37">
    <cfRule type="containsText" dxfId="84" priority="202" operator="containsText" text="Solicitado">
      <formula>NOT(ISERROR(SEARCH("Solicitado",T35)))</formula>
    </cfRule>
    <cfRule type="containsText" dxfId="83" priority="203" operator="containsText" text="Recebido">
      <formula>NOT(ISERROR(SEARCH("Recebido",T35)))</formula>
    </cfRule>
    <cfRule type="containsText" dxfId="82" priority="204" operator="containsText" text="Enviado/Lançado">
      <formula>NOT(ISERROR(SEARCH("Enviado/Lançado",T35)))</formula>
    </cfRule>
    <cfRule type="containsText" dxfId="81" priority="205" operator="containsText" text="Pago">
      <formula>NOT(ISERROR(SEARCH("Pago",T35)))</formula>
    </cfRule>
    <cfRule type="containsText" dxfId="80" priority="206" operator="containsText" text="Aguardando Aprovação">
      <formula>NOT(ISERROR(SEARCH("Aguardando Aprovação",T35)))</formula>
    </cfRule>
  </conditionalFormatting>
  <conditionalFormatting sqref="T49:T51">
    <cfRule type="containsText" dxfId="79" priority="314" operator="containsText" text="Solicitado">
      <formula>NOT(ISERROR(SEARCH("Solicitado",T49)))</formula>
    </cfRule>
    <cfRule type="containsText" dxfId="78" priority="315" operator="containsText" text="Recebido">
      <formula>NOT(ISERROR(SEARCH("Recebido",T49)))</formula>
    </cfRule>
    <cfRule type="containsText" dxfId="77" priority="316" operator="containsText" text="Enviado/Lançado">
      <formula>NOT(ISERROR(SEARCH("Enviado/Lançado",T49)))</formula>
    </cfRule>
    <cfRule type="containsText" dxfId="76" priority="317" operator="containsText" text="Pago">
      <formula>NOT(ISERROR(SEARCH("Pago",T49)))</formula>
    </cfRule>
    <cfRule type="containsText" dxfId="75" priority="318" operator="containsText" text="Aguardando Aprovação">
      <formula>NOT(ISERROR(SEARCH("Aguardando Aprovação",T49)))</formula>
    </cfRule>
  </conditionalFormatting>
  <conditionalFormatting sqref="T55:T57">
    <cfRule type="containsText" dxfId="74" priority="356" operator="containsText" text="Solicitado">
      <formula>NOT(ISERROR(SEARCH("Solicitado",T55)))</formula>
    </cfRule>
    <cfRule type="containsText" dxfId="73" priority="357" operator="containsText" text="Recebido">
      <formula>NOT(ISERROR(SEARCH("Recebido",T55)))</formula>
    </cfRule>
    <cfRule type="containsText" dxfId="72" priority="358" operator="containsText" text="Enviado/Lançado">
      <formula>NOT(ISERROR(SEARCH("Enviado/Lançado",T55)))</formula>
    </cfRule>
    <cfRule type="containsText" dxfId="71" priority="359" operator="containsText" text="Pago">
      <formula>NOT(ISERROR(SEARCH("Pago",T55)))</formula>
    </cfRule>
    <cfRule type="containsText" dxfId="70" priority="360" operator="containsText" text="Aguardando Aprovação">
      <formula>NOT(ISERROR(SEARCH("Aguardando Aprovação",T55)))</formula>
    </cfRule>
  </conditionalFormatting>
  <conditionalFormatting sqref="T61:T65">
    <cfRule type="containsText" dxfId="69" priority="398" operator="containsText" text="Solicitado">
      <formula>NOT(ISERROR(SEARCH("Solicitado",T61)))</formula>
    </cfRule>
    <cfRule type="containsText" dxfId="68" priority="399" operator="containsText" text="Recebido">
      <formula>NOT(ISERROR(SEARCH("Recebido",T61)))</formula>
    </cfRule>
    <cfRule type="containsText" dxfId="67" priority="400" operator="containsText" text="Enviado/Lançado">
      <formula>NOT(ISERROR(SEARCH("Enviado/Lançado",T61)))</formula>
    </cfRule>
    <cfRule type="containsText" dxfId="66" priority="401" operator="containsText" text="Pago">
      <formula>NOT(ISERROR(SEARCH("Pago",T61)))</formula>
    </cfRule>
    <cfRule type="containsText" dxfId="65" priority="402" operator="containsText" text="Aguardando Aprovação">
      <formula>NOT(ISERROR(SEARCH("Aguardando Aprovação",T61)))</formula>
    </cfRule>
  </conditionalFormatting>
  <conditionalFormatting sqref="T69:T76">
    <cfRule type="containsText" dxfId="64" priority="468" operator="containsText" text="Solicitado">
      <formula>NOT(ISERROR(SEARCH("Solicitado",T69)))</formula>
    </cfRule>
    <cfRule type="containsText" dxfId="63" priority="469" operator="containsText" text="Recebido">
      <formula>NOT(ISERROR(SEARCH("Recebido",T69)))</formula>
    </cfRule>
    <cfRule type="containsText" dxfId="62" priority="470" operator="containsText" text="Enviado/Lançado">
      <formula>NOT(ISERROR(SEARCH("Enviado/Lançado",T69)))</formula>
    </cfRule>
    <cfRule type="containsText" dxfId="61" priority="471" operator="containsText" text="Pago">
      <formula>NOT(ISERROR(SEARCH("Pago",T69)))</formula>
    </cfRule>
    <cfRule type="containsText" dxfId="60" priority="472" operator="containsText" text="Aguardando Aprovação">
      <formula>NOT(ISERROR(SEARCH("Aguardando Aprovação",T69)))</formula>
    </cfRule>
  </conditionalFormatting>
  <conditionalFormatting sqref="T80:T85">
    <cfRule type="containsText" dxfId="59" priority="580" operator="containsText" text="Solicitado">
      <formula>NOT(ISERROR(SEARCH("Solicitado",T80)))</formula>
    </cfRule>
    <cfRule type="containsText" dxfId="58" priority="581" operator="containsText" text="Recebido">
      <formula>NOT(ISERROR(SEARCH("Recebido",T80)))</formula>
    </cfRule>
    <cfRule type="containsText" dxfId="57" priority="582" operator="containsText" text="Enviado/Lançado">
      <formula>NOT(ISERROR(SEARCH("Enviado/Lançado",T80)))</formula>
    </cfRule>
    <cfRule type="containsText" dxfId="56" priority="583" operator="containsText" text="Pago">
      <formula>NOT(ISERROR(SEARCH("Pago",T80)))</formula>
    </cfRule>
    <cfRule type="containsText" dxfId="55" priority="584" operator="containsText" text="Aguardando Aprovação">
      <formula>NOT(ISERROR(SEARCH("Aguardando Aprovação",T80)))</formula>
    </cfRule>
  </conditionalFormatting>
  <conditionalFormatting sqref="T89">
    <cfRule type="containsText" dxfId="54" priority="664" operator="containsText" text="Solicitado">
      <formula>NOT(ISERROR(SEARCH("Solicitado",T89)))</formula>
    </cfRule>
    <cfRule type="containsText" dxfId="53" priority="665" operator="containsText" text="Recebido">
      <formula>NOT(ISERROR(SEARCH("Recebido",T89)))</formula>
    </cfRule>
    <cfRule type="containsText" dxfId="52" priority="666" operator="containsText" text="Enviado/Lançado">
      <formula>NOT(ISERROR(SEARCH("Enviado/Lançado",T89)))</formula>
    </cfRule>
    <cfRule type="containsText" dxfId="51" priority="667" operator="containsText" text="Pago">
      <formula>NOT(ISERROR(SEARCH("Pago",T89)))</formula>
    </cfRule>
    <cfRule type="containsText" dxfId="50" priority="668" operator="containsText" text="Aguardando Aprovação">
      <formula>NOT(ISERROR(SEARCH("Aguardando Aprovação",T89)))</formula>
    </cfRule>
  </conditionalFormatting>
  <conditionalFormatting sqref="Y10:Y11 Y15:Y17 Y41:Y45">
    <cfRule type="containsText" dxfId="49" priority="25" operator="containsText" text="Sim">
      <formula>NOT(ISERROR(SEARCH("Sim",Y10)))</formula>
    </cfRule>
    <cfRule type="containsText" dxfId="48" priority="26" operator="containsText" text="Não">
      <formula>NOT(ISERROR(SEARCH("Não",Y10)))</formula>
    </cfRule>
    <cfRule type="containsText" dxfId="47" priority="27" operator="containsText" text="Parcial">
      <formula>NOT(ISERROR(SEARCH("Parcial",Y10)))</formula>
    </cfRule>
  </conditionalFormatting>
  <conditionalFormatting sqref="Y21:Y23">
    <cfRule type="containsText" dxfId="46" priority="95" operator="containsText" text="Sim">
      <formula>NOT(ISERROR(SEARCH("Sim",Y21)))</formula>
    </cfRule>
    <cfRule type="containsText" dxfId="45" priority="96" operator="containsText" text="Não">
      <formula>NOT(ISERROR(SEARCH("Não",Y21)))</formula>
    </cfRule>
    <cfRule type="containsText" dxfId="44" priority="97" operator="containsText" text="Parcial">
      <formula>NOT(ISERROR(SEARCH("Parcial",Y21)))</formula>
    </cfRule>
  </conditionalFormatting>
  <conditionalFormatting sqref="Y27:Y31">
    <cfRule type="containsText" dxfId="43" priority="137" operator="containsText" text="Sim">
      <formula>NOT(ISERROR(SEARCH("Sim",Y27)))</formula>
    </cfRule>
    <cfRule type="containsText" dxfId="42" priority="138" operator="containsText" text="Não">
      <formula>NOT(ISERROR(SEARCH("Não",Y27)))</formula>
    </cfRule>
    <cfRule type="containsText" dxfId="41" priority="139" operator="containsText" text="Parcial">
      <formula>NOT(ISERROR(SEARCH("Parcial",Y27)))</formula>
    </cfRule>
  </conditionalFormatting>
  <conditionalFormatting sqref="Y35:Y37">
    <cfRule type="containsText" dxfId="40" priority="207" operator="containsText" text="Sim">
      <formula>NOT(ISERROR(SEARCH("Sim",Y35)))</formula>
    </cfRule>
    <cfRule type="containsText" dxfId="39" priority="208" operator="containsText" text="Não">
      <formula>NOT(ISERROR(SEARCH("Não",Y35)))</formula>
    </cfRule>
    <cfRule type="containsText" dxfId="38" priority="209" operator="containsText" text="Parcial">
      <formula>NOT(ISERROR(SEARCH("Parcial",Y35)))</formula>
    </cfRule>
  </conditionalFormatting>
  <conditionalFormatting sqref="Y49:Y51">
    <cfRule type="containsText" dxfId="37" priority="319" operator="containsText" text="Sim">
      <formula>NOT(ISERROR(SEARCH("Sim",Y49)))</formula>
    </cfRule>
    <cfRule type="containsText" dxfId="36" priority="320" operator="containsText" text="Não">
      <formula>NOT(ISERROR(SEARCH("Não",Y49)))</formula>
    </cfRule>
    <cfRule type="containsText" dxfId="35" priority="321" operator="containsText" text="Parcial">
      <formula>NOT(ISERROR(SEARCH("Parcial",Y49)))</formula>
    </cfRule>
  </conditionalFormatting>
  <conditionalFormatting sqref="Y55:Y57">
    <cfRule type="containsText" dxfId="34" priority="361" operator="containsText" text="Sim">
      <formula>NOT(ISERROR(SEARCH("Sim",Y55)))</formula>
    </cfRule>
    <cfRule type="containsText" dxfId="33" priority="362" operator="containsText" text="Não">
      <formula>NOT(ISERROR(SEARCH("Não",Y55)))</formula>
    </cfRule>
    <cfRule type="containsText" dxfId="32" priority="363" operator="containsText" text="Parcial">
      <formula>NOT(ISERROR(SEARCH("Parcial",Y55)))</formula>
    </cfRule>
  </conditionalFormatting>
  <conditionalFormatting sqref="Y61:Y65">
    <cfRule type="containsText" dxfId="31" priority="403" operator="containsText" text="Sim">
      <formula>NOT(ISERROR(SEARCH("Sim",Y61)))</formula>
    </cfRule>
    <cfRule type="containsText" dxfId="30" priority="404" operator="containsText" text="Não">
      <formula>NOT(ISERROR(SEARCH("Não",Y61)))</formula>
    </cfRule>
    <cfRule type="containsText" dxfId="29" priority="405" operator="containsText" text="Parcial">
      <formula>NOT(ISERROR(SEARCH("Parcial",Y61)))</formula>
    </cfRule>
  </conditionalFormatting>
  <conditionalFormatting sqref="Y69:Y76">
    <cfRule type="containsText" dxfId="28" priority="473" operator="containsText" text="Sim">
      <formula>NOT(ISERROR(SEARCH("Sim",Y69)))</formula>
    </cfRule>
    <cfRule type="containsText" dxfId="27" priority="474" operator="containsText" text="Não">
      <formula>NOT(ISERROR(SEARCH("Não",Y69)))</formula>
    </cfRule>
    <cfRule type="containsText" dxfId="26" priority="475" operator="containsText" text="Parcial">
      <formula>NOT(ISERROR(SEARCH("Parcial",Y69)))</formula>
    </cfRule>
  </conditionalFormatting>
  <conditionalFormatting sqref="Y80:Y85">
    <cfRule type="containsText" dxfId="25" priority="585" operator="containsText" text="Sim">
      <formula>NOT(ISERROR(SEARCH("Sim",Y80)))</formula>
    </cfRule>
    <cfRule type="containsText" dxfId="24" priority="586" operator="containsText" text="Não">
      <formula>NOT(ISERROR(SEARCH("Não",Y80)))</formula>
    </cfRule>
    <cfRule type="containsText" dxfId="23" priority="587" operator="containsText" text="Parcial">
      <formula>NOT(ISERROR(SEARCH("Parcial",Y80)))</formula>
    </cfRule>
  </conditionalFormatting>
  <conditionalFormatting sqref="Y89">
    <cfRule type="containsText" dxfId="22" priority="669" operator="containsText" text="Sim">
      <formula>NOT(ISERROR(SEARCH("Sim",Y89)))</formula>
    </cfRule>
    <cfRule type="containsText" dxfId="21" priority="670" operator="containsText" text="Não">
      <formula>NOT(ISERROR(SEARCH("Não",Y89)))</formula>
    </cfRule>
    <cfRule type="containsText" dxfId="20" priority="671" operator="containsText" text="Parcial">
      <formula>NOT(ISERROR(SEARCH("Parcial",Y89)))</formula>
    </cfRule>
  </conditionalFormatting>
  <conditionalFormatting sqref="Z10:Z11 Z15:Z17 Z41:Z45">
    <cfRule type="cellIs" dxfId="19" priority="28" operator="greaterThan">
      <formula>0</formula>
    </cfRule>
    <cfRule type="cellIs" dxfId="18" priority="29" operator="lessThanOrEqual">
      <formula>0</formula>
    </cfRule>
  </conditionalFormatting>
  <conditionalFormatting sqref="Z21:Z23">
    <cfRule type="cellIs" dxfId="17" priority="98" operator="greaterThan">
      <formula>0</formula>
    </cfRule>
    <cfRule type="cellIs" dxfId="16" priority="99" operator="lessThanOrEqual">
      <formula>0</formula>
    </cfRule>
  </conditionalFormatting>
  <conditionalFormatting sqref="Z27:Z31">
    <cfRule type="cellIs" dxfId="15" priority="140" operator="greaterThan">
      <formula>0</formula>
    </cfRule>
    <cfRule type="cellIs" dxfId="14" priority="141" operator="lessThanOrEqual">
      <formula>0</formula>
    </cfRule>
  </conditionalFormatting>
  <conditionalFormatting sqref="Z35:Z37">
    <cfRule type="cellIs" dxfId="13" priority="210" operator="greaterThan">
      <formula>0</formula>
    </cfRule>
    <cfRule type="cellIs" dxfId="12" priority="211" operator="lessThanOrEqual">
      <formula>0</formula>
    </cfRule>
  </conditionalFormatting>
  <conditionalFormatting sqref="Z49:Z51">
    <cfRule type="cellIs" dxfId="11" priority="322" operator="greaterThan">
      <formula>0</formula>
    </cfRule>
    <cfRule type="cellIs" dxfId="10" priority="323" operator="lessThanOrEqual">
      <formula>0</formula>
    </cfRule>
  </conditionalFormatting>
  <conditionalFormatting sqref="Z55:Z57">
    <cfRule type="cellIs" dxfId="9" priority="364" operator="greaterThan">
      <formula>0</formula>
    </cfRule>
    <cfRule type="cellIs" dxfId="8" priority="365" operator="lessThanOrEqual">
      <formula>0</formula>
    </cfRule>
  </conditionalFormatting>
  <conditionalFormatting sqref="Z61:Z65">
    <cfRule type="cellIs" dxfId="7" priority="406" operator="greaterThan">
      <formula>0</formula>
    </cfRule>
    <cfRule type="cellIs" dxfId="6" priority="407" operator="lessThanOrEqual">
      <formula>0</formula>
    </cfRule>
  </conditionalFormatting>
  <conditionalFormatting sqref="Z69:Z76">
    <cfRule type="cellIs" dxfId="5" priority="476" operator="greaterThan">
      <formula>0</formula>
    </cfRule>
    <cfRule type="cellIs" dxfId="4" priority="477" operator="lessThanOrEqual">
      <formula>0</formula>
    </cfRule>
  </conditionalFormatting>
  <conditionalFormatting sqref="Z80:Z85">
    <cfRule type="cellIs" dxfId="3" priority="588" operator="greaterThan">
      <formula>0</formula>
    </cfRule>
    <cfRule type="cellIs" dxfId="2" priority="589" operator="lessThanOrEqual">
      <formula>0</formula>
    </cfRule>
  </conditionalFormatting>
  <conditionalFormatting sqref="Z89">
    <cfRule type="cellIs" dxfId="1" priority="672" operator="greaterThan">
      <formula>0</formula>
    </cfRule>
    <cfRule type="cellIs" dxfId="0" priority="673" operator="lessThanOrEqual">
      <formula>0</formula>
    </cfRule>
  </conditionalFormatting>
  <dataValidations count="3">
    <dataValidation type="list" allowBlank="1" errorTitle="Status inválido" error="Selecione um status válido" sqref="O10:O11 O21:O23 O27:O31 O35:O37 O49:O51 O55:O57 O61:O65 O69:O76 O80:O85 O89 O15:O17 O41:O45" xr:uid="{00000000-0002-0000-0000-000000000000}">
      <formula1>"Aprovado,Aguardando Aprovação,Negociação,Em Cotação"</formula1>
      <formula2>0</formula2>
    </dataValidation>
    <dataValidation type="list" allowBlank="1" sqref="T10:T11 T21:T23 T27:T31 T35:T37 T49:T51 T55:T57 T61:T65 T69:T76 T80:T85 T89 T15:T17 T41:T45" xr:uid="{00000000-0002-0000-0000-000001000000}">
      <formula1>"Solicitado,Recebido,Enviado/Lançado,Pago,Aguardando Aprovação"</formula1>
      <formula2>0</formula2>
    </dataValidation>
    <dataValidation type="list" allowBlank="1" sqref="Y10:Y11 Y21:Y23 Y27:Y31 Y35:Y37 Y49:Y51 Y55:Y57 Y61:Y65 Y69:Y76 Y80:Y85 Y89 Y15:Y17 Y41:Y45" xr:uid="{00000000-0002-0000-0000-000002000000}">
      <formula1>"Sim,Não,Parcial"</formula1>
      <formula2>0</formula2>
    </dataValidation>
  </dataValidations>
  <pageMargins left="0.75" right="0.75" top="1" bottom="1" header="0.511811023622047" footer="0.511811023622047"/>
  <pageSetup orientation="landscape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513"/>
  <sheetViews>
    <sheetView zoomScaleNormal="100" workbookViewId="0">
      <selection activeCell="J7" sqref="J7"/>
    </sheetView>
  </sheetViews>
  <sheetFormatPr defaultColWidth="8.6640625" defaultRowHeight="14.4" x14ac:dyDescent="0.3"/>
  <cols>
    <col min="1" max="1" width="30" customWidth="1"/>
    <col min="2" max="2" width="40" customWidth="1"/>
  </cols>
  <sheetData>
    <row r="1" spans="1:4" ht="30" customHeight="1" x14ac:dyDescent="0.3">
      <c r="A1" s="182" t="s">
        <v>139</v>
      </c>
      <c r="B1" s="110"/>
      <c r="C1" s="110"/>
      <c r="D1" s="110"/>
    </row>
    <row r="3" spans="1:4" ht="21.75" customHeight="1" x14ac:dyDescent="0.3">
      <c r="A3" s="52" t="s">
        <v>140</v>
      </c>
      <c r="B3" s="178" t="s">
        <v>502</v>
      </c>
      <c r="C3" s="176"/>
      <c r="D3" s="176"/>
    </row>
    <row r="4" spans="1:4" ht="21.75" customHeight="1" x14ac:dyDescent="0.3">
      <c r="A4" s="52" t="s">
        <v>141</v>
      </c>
      <c r="B4" s="175" t="s">
        <v>503</v>
      </c>
      <c r="C4" s="176"/>
      <c r="D4" s="176"/>
    </row>
    <row r="5" spans="1:4" ht="21.75" customHeight="1" x14ac:dyDescent="0.3">
      <c r="A5" s="52" t="s">
        <v>142</v>
      </c>
      <c r="B5" s="175" t="s">
        <v>504</v>
      </c>
      <c r="C5" s="176"/>
      <c r="D5" s="176"/>
    </row>
    <row r="6" spans="1:4" ht="21.75" customHeight="1" x14ac:dyDescent="0.3">
      <c r="A6" s="52" t="s">
        <v>143</v>
      </c>
      <c r="B6" s="178" t="s">
        <v>505</v>
      </c>
      <c r="C6" s="176"/>
      <c r="D6" s="176"/>
    </row>
    <row r="7" spans="1:4" ht="28.05" customHeight="1" x14ac:dyDescent="0.3">
      <c r="A7" s="180" t="s">
        <v>144</v>
      </c>
      <c r="B7" s="110"/>
      <c r="C7" s="110"/>
      <c r="D7" s="110"/>
    </row>
    <row r="8" spans="1:4" ht="24" customHeight="1" x14ac:dyDescent="0.3">
      <c r="A8" s="181" t="s">
        <v>145</v>
      </c>
      <c r="B8" s="110"/>
      <c r="C8" s="110"/>
      <c r="D8" s="110"/>
    </row>
    <row r="9" spans="1:4" ht="19.95" customHeight="1" x14ac:dyDescent="0.3">
      <c r="A9" s="177" t="s">
        <v>146</v>
      </c>
      <c r="B9" s="110"/>
      <c r="C9" s="110"/>
      <c r="D9" s="110"/>
    </row>
    <row r="10" spans="1:4" ht="13.05" customHeight="1" x14ac:dyDescent="0.3">
      <c r="A10" s="174" t="s">
        <v>147</v>
      </c>
      <c r="B10" s="110"/>
      <c r="C10" s="110"/>
      <c r="D10" s="110"/>
    </row>
    <row r="11" spans="1:4" ht="13.05" customHeight="1" x14ac:dyDescent="0.3">
      <c r="A11" s="174" t="s">
        <v>148</v>
      </c>
      <c r="B11" s="110"/>
      <c r="C11" s="110"/>
      <c r="D11" s="110"/>
    </row>
    <row r="12" spans="1:4" ht="13.05" customHeight="1" x14ac:dyDescent="0.3">
      <c r="A12" s="174" t="s">
        <v>149</v>
      </c>
      <c r="B12" s="110"/>
      <c r="C12" s="110"/>
      <c r="D12" s="110"/>
    </row>
    <row r="13" spans="1:4" ht="13.05" customHeight="1" x14ac:dyDescent="0.3">
      <c r="A13" s="174" t="s">
        <v>147</v>
      </c>
      <c r="B13" s="110"/>
      <c r="C13" s="110"/>
      <c r="D13" s="110"/>
    </row>
    <row r="14" spans="1:4" ht="13.05" customHeight="1" x14ac:dyDescent="0.3">
      <c r="A14" s="172"/>
      <c r="B14" s="110"/>
      <c r="C14" s="110"/>
      <c r="D14" s="110"/>
    </row>
    <row r="15" spans="1:4" ht="13.05" customHeight="1" x14ac:dyDescent="0.3">
      <c r="A15" s="173" t="s">
        <v>150</v>
      </c>
      <c r="B15" s="110"/>
      <c r="C15" s="110"/>
      <c r="D15" s="110"/>
    </row>
    <row r="16" spans="1:4" ht="13.05" customHeight="1" x14ac:dyDescent="0.3">
      <c r="A16" s="172" t="s">
        <v>151</v>
      </c>
      <c r="B16" s="110"/>
      <c r="C16" s="110"/>
      <c r="D16" s="110"/>
    </row>
    <row r="17" spans="1:4" ht="13.05" customHeight="1" x14ac:dyDescent="0.3">
      <c r="A17" s="173" t="s">
        <v>152</v>
      </c>
      <c r="B17" s="110"/>
      <c r="C17" s="110"/>
      <c r="D17" s="110"/>
    </row>
    <row r="18" spans="1:4" ht="13.05" customHeight="1" x14ac:dyDescent="0.3">
      <c r="A18" s="173" t="s">
        <v>153</v>
      </c>
      <c r="B18" s="110"/>
      <c r="C18" s="110"/>
      <c r="D18" s="110"/>
    </row>
    <row r="19" spans="1:4" ht="13.05" customHeight="1" x14ac:dyDescent="0.3">
      <c r="A19" s="173" t="s">
        <v>154</v>
      </c>
      <c r="B19" s="110"/>
      <c r="C19" s="110"/>
      <c r="D19" s="110"/>
    </row>
    <row r="20" spans="1:4" ht="13.05" customHeight="1" x14ac:dyDescent="0.3">
      <c r="A20" s="172" t="s">
        <v>155</v>
      </c>
      <c r="B20" s="110"/>
      <c r="C20" s="110"/>
      <c r="D20" s="110"/>
    </row>
    <row r="21" spans="1:4" ht="13.05" customHeight="1" x14ac:dyDescent="0.3">
      <c r="A21" s="172" t="s">
        <v>156</v>
      </c>
      <c r="B21" s="110"/>
      <c r="C21" s="110"/>
      <c r="D21" s="110"/>
    </row>
    <row r="22" spans="1:4" ht="13.05" customHeight="1" x14ac:dyDescent="0.3">
      <c r="A22" s="172" t="s">
        <v>157</v>
      </c>
      <c r="B22" s="110"/>
      <c r="C22" s="110"/>
      <c r="D22" s="110"/>
    </row>
    <row r="23" spans="1:4" ht="13.05" customHeight="1" x14ac:dyDescent="0.3">
      <c r="A23" s="173" t="s">
        <v>158</v>
      </c>
      <c r="B23" s="110"/>
      <c r="C23" s="110"/>
      <c r="D23" s="110"/>
    </row>
    <row r="24" spans="1:4" ht="13.05" customHeight="1" x14ac:dyDescent="0.3">
      <c r="A24" s="172"/>
      <c r="B24" s="110"/>
      <c r="C24" s="110"/>
      <c r="D24" s="110"/>
    </row>
    <row r="25" spans="1:4" ht="13.05" customHeight="1" x14ac:dyDescent="0.3">
      <c r="A25" s="174" t="s">
        <v>159</v>
      </c>
      <c r="B25" s="110"/>
      <c r="C25" s="110"/>
      <c r="D25" s="110"/>
    </row>
    <row r="26" spans="1:4" ht="13.05" customHeight="1" x14ac:dyDescent="0.3">
      <c r="A26" s="173" t="s">
        <v>160</v>
      </c>
      <c r="B26" s="110"/>
      <c r="C26" s="110"/>
      <c r="D26" s="110"/>
    </row>
    <row r="27" spans="1:4" ht="13.05" customHeight="1" x14ac:dyDescent="0.3">
      <c r="A27" s="173" t="s">
        <v>161</v>
      </c>
      <c r="B27" s="110"/>
      <c r="C27" s="110"/>
      <c r="D27" s="110"/>
    </row>
    <row r="28" spans="1:4" ht="13.05" customHeight="1" x14ac:dyDescent="0.3">
      <c r="A28" s="173" t="s">
        <v>162</v>
      </c>
      <c r="B28" s="110"/>
      <c r="C28" s="110"/>
      <c r="D28" s="110"/>
    </row>
    <row r="29" spans="1:4" ht="13.05" customHeight="1" x14ac:dyDescent="0.3">
      <c r="A29" s="172" t="s">
        <v>163</v>
      </c>
      <c r="B29" s="110"/>
      <c r="C29" s="110"/>
      <c r="D29" s="110"/>
    </row>
    <row r="30" spans="1:4" ht="13.05" customHeight="1" x14ac:dyDescent="0.3">
      <c r="A30" s="172" t="s">
        <v>164</v>
      </c>
      <c r="B30" s="110"/>
      <c r="C30" s="110"/>
      <c r="D30" s="110"/>
    </row>
    <row r="31" spans="1:4" ht="13.05" customHeight="1" x14ac:dyDescent="0.3">
      <c r="A31" s="172" t="s">
        <v>165</v>
      </c>
      <c r="B31" s="110"/>
      <c r="C31" s="110"/>
      <c r="D31" s="110"/>
    </row>
    <row r="32" spans="1:4" ht="13.05" customHeight="1" x14ac:dyDescent="0.3">
      <c r="A32" s="172" t="s">
        <v>166</v>
      </c>
      <c r="B32" s="110"/>
      <c r="C32" s="110"/>
      <c r="D32" s="110"/>
    </row>
    <row r="33" spans="1:4" ht="13.05" customHeight="1" x14ac:dyDescent="0.3">
      <c r="A33" s="172" t="s">
        <v>167</v>
      </c>
      <c r="B33" s="110"/>
      <c r="C33" s="110"/>
      <c r="D33" s="110"/>
    </row>
    <row r="34" spans="1:4" ht="13.05" customHeight="1" x14ac:dyDescent="0.3">
      <c r="A34" s="173" t="s">
        <v>168</v>
      </c>
      <c r="B34" s="110"/>
      <c r="C34" s="110"/>
      <c r="D34" s="110"/>
    </row>
    <row r="35" spans="1:4" ht="13.05" customHeight="1" x14ac:dyDescent="0.3">
      <c r="A35" s="173" t="s">
        <v>169</v>
      </c>
      <c r="B35" s="110"/>
      <c r="C35" s="110"/>
      <c r="D35" s="110"/>
    </row>
    <row r="36" spans="1:4" ht="13.05" customHeight="1" x14ac:dyDescent="0.3">
      <c r="A36" s="172"/>
      <c r="B36" s="110"/>
      <c r="C36" s="110"/>
      <c r="D36" s="110"/>
    </row>
    <row r="37" spans="1:4" ht="13.05" customHeight="1" x14ac:dyDescent="0.3">
      <c r="A37" s="174" t="s">
        <v>170</v>
      </c>
      <c r="B37" s="110"/>
      <c r="C37" s="110"/>
      <c r="D37" s="110"/>
    </row>
    <row r="38" spans="1:4" ht="13.05" customHeight="1" x14ac:dyDescent="0.3">
      <c r="A38" s="173" t="s">
        <v>171</v>
      </c>
      <c r="B38" s="110"/>
      <c r="C38" s="110"/>
      <c r="D38" s="110"/>
    </row>
    <row r="39" spans="1:4" ht="13.05" customHeight="1" x14ac:dyDescent="0.3">
      <c r="A39" s="173" t="s">
        <v>172</v>
      </c>
      <c r="B39" s="110"/>
      <c r="C39" s="110"/>
      <c r="D39" s="110"/>
    </row>
    <row r="40" spans="1:4" ht="13.05" customHeight="1" x14ac:dyDescent="0.3">
      <c r="A40" s="173" t="s">
        <v>173</v>
      </c>
      <c r="B40" s="110"/>
      <c r="C40" s="110"/>
      <c r="D40" s="110"/>
    </row>
    <row r="41" spans="1:4" ht="13.05" customHeight="1" x14ac:dyDescent="0.3">
      <c r="A41" s="172" t="s">
        <v>174</v>
      </c>
      <c r="B41" s="110"/>
      <c r="C41" s="110"/>
      <c r="D41" s="110"/>
    </row>
    <row r="42" spans="1:4" ht="13.05" customHeight="1" x14ac:dyDescent="0.3">
      <c r="A42" s="172" t="s">
        <v>164</v>
      </c>
      <c r="B42" s="110"/>
      <c r="C42" s="110"/>
      <c r="D42" s="110"/>
    </row>
    <row r="43" spans="1:4" ht="13.05" customHeight="1" x14ac:dyDescent="0.3">
      <c r="A43" s="172" t="s">
        <v>175</v>
      </c>
      <c r="B43" s="110"/>
      <c r="C43" s="110"/>
      <c r="D43" s="110"/>
    </row>
    <row r="44" spans="1:4" ht="13.05" customHeight="1" x14ac:dyDescent="0.3">
      <c r="A44" s="172" t="s">
        <v>176</v>
      </c>
      <c r="B44" s="110"/>
      <c r="C44" s="110"/>
      <c r="D44" s="110"/>
    </row>
    <row r="45" spans="1:4" ht="13.05" customHeight="1" x14ac:dyDescent="0.3">
      <c r="A45" s="172" t="s">
        <v>167</v>
      </c>
      <c r="B45" s="110"/>
      <c r="C45" s="110"/>
      <c r="D45" s="110"/>
    </row>
    <row r="46" spans="1:4" ht="13.05" customHeight="1" x14ac:dyDescent="0.3">
      <c r="A46" s="173" t="s">
        <v>168</v>
      </c>
      <c r="B46" s="110"/>
      <c r="C46" s="110"/>
      <c r="D46" s="110"/>
    </row>
    <row r="47" spans="1:4" ht="13.05" customHeight="1" x14ac:dyDescent="0.3">
      <c r="A47" s="173" t="s">
        <v>169</v>
      </c>
      <c r="B47" s="110"/>
      <c r="C47" s="110"/>
      <c r="D47" s="110"/>
    </row>
    <row r="48" spans="1:4" ht="13.05" customHeight="1" x14ac:dyDescent="0.3">
      <c r="A48" s="172" t="s">
        <v>177</v>
      </c>
      <c r="B48" s="110"/>
      <c r="C48" s="110"/>
      <c r="D48" s="110"/>
    </row>
    <row r="49" spans="1:4" ht="13.05" customHeight="1" x14ac:dyDescent="0.3">
      <c r="A49" s="173" t="s">
        <v>178</v>
      </c>
      <c r="B49" s="110"/>
      <c r="C49" s="110"/>
      <c r="D49" s="110"/>
    </row>
    <row r="51" spans="1:4" ht="19.95" customHeight="1" x14ac:dyDescent="0.3">
      <c r="A51" s="179" t="s">
        <v>179</v>
      </c>
      <c r="B51" s="110"/>
      <c r="C51" s="110"/>
      <c r="D51" s="110"/>
    </row>
    <row r="52" spans="1:4" ht="13.05" customHeight="1" x14ac:dyDescent="0.3">
      <c r="A52" s="174" t="s">
        <v>147</v>
      </c>
      <c r="B52" s="110"/>
      <c r="C52" s="110"/>
      <c r="D52" s="110"/>
    </row>
    <row r="53" spans="1:4" ht="13.05" customHeight="1" x14ac:dyDescent="0.3">
      <c r="A53" s="174" t="s">
        <v>180</v>
      </c>
      <c r="B53" s="110"/>
      <c r="C53" s="110"/>
      <c r="D53" s="110"/>
    </row>
    <row r="54" spans="1:4" ht="13.05" customHeight="1" x14ac:dyDescent="0.3">
      <c r="A54" s="174" t="s">
        <v>147</v>
      </c>
      <c r="B54" s="110"/>
      <c r="C54" s="110"/>
      <c r="D54" s="110"/>
    </row>
    <row r="55" spans="1:4" ht="13.05" customHeight="1" x14ac:dyDescent="0.3">
      <c r="A55" s="172"/>
      <c r="B55" s="110"/>
      <c r="C55" s="110"/>
      <c r="D55" s="110"/>
    </row>
    <row r="56" spans="1:4" ht="13.05" customHeight="1" x14ac:dyDescent="0.3">
      <c r="A56" s="173" t="s">
        <v>181</v>
      </c>
      <c r="B56" s="110"/>
      <c r="C56" s="110"/>
      <c r="D56" s="110"/>
    </row>
    <row r="57" spans="1:4" ht="13.05" customHeight="1" x14ac:dyDescent="0.3">
      <c r="A57" s="173" t="s">
        <v>182</v>
      </c>
      <c r="B57" s="110"/>
      <c r="C57" s="110"/>
      <c r="D57" s="110"/>
    </row>
    <row r="58" spans="1:4" ht="13.05" customHeight="1" x14ac:dyDescent="0.3">
      <c r="A58" s="173" t="s">
        <v>183</v>
      </c>
      <c r="B58" s="110"/>
      <c r="C58" s="110"/>
      <c r="D58" s="110"/>
    </row>
    <row r="59" spans="1:4" ht="13.05" customHeight="1" x14ac:dyDescent="0.3">
      <c r="A59" s="173" t="s">
        <v>184</v>
      </c>
      <c r="B59" s="110"/>
      <c r="C59" s="110"/>
      <c r="D59" s="110"/>
    </row>
    <row r="60" spans="1:4" ht="13.05" customHeight="1" x14ac:dyDescent="0.3">
      <c r="A60" s="173" t="s">
        <v>185</v>
      </c>
      <c r="B60" s="110"/>
      <c r="C60" s="110"/>
      <c r="D60" s="110"/>
    </row>
    <row r="61" spans="1:4" ht="13.05" customHeight="1" x14ac:dyDescent="0.3">
      <c r="A61" s="173" t="s">
        <v>186</v>
      </c>
      <c r="B61" s="110"/>
      <c r="C61" s="110"/>
      <c r="D61" s="110"/>
    </row>
    <row r="62" spans="1:4" ht="13.05" customHeight="1" x14ac:dyDescent="0.3">
      <c r="A62" s="173" t="s">
        <v>187</v>
      </c>
      <c r="B62" s="110"/>
      <c r="C62" s="110"/>
      <c r="D62" s="110"/>
    </row>
    <row r="63" spans="1:4" ht="13.05" customHeight="1" x14ac:dyDescent="0.3">
      <c r="A63" s="173" t="s">
        <v>188</v>
      </c>
      <c r="B63" s="110"/>
      <c r="C63" s="110"/>
      <c r="D63" s="110"/>
    </row>
    <row r="64" spans="1:4" ht="13.05" customHeight="1" x14ac:dyDescent="0.3">
      <c r="A64" s="173" t="s">
        <v>189</v>
      </c>
      <c r="B64" s="110"/>
      <c r="C64" s="110"/>
      <c r="D64" s="110"/>
    </row>
    <row r="65" spans="1:4" ht="13.05" customHeight="1" x14ac:dyDescent="0.3">
      <c r="A65" s="173" t="s">
        <v>190</v>
      </c>
      <c r="B65" s="110"/>
      <c r="C65" s="110"/>
      <c r="D65" s="110"/>
    </row>
    <row r="66" spans="1:4" ht="13.05" customHeight="1" x14ac:dyDescent="0.3">
      <c r="A66" s="173" t="s">
        <v>191</v>
      </c>
      <c r="B66" s="110"/>
      <c r="C66" s="110"/>
      <c r="D66" s="110"/>
    </row>
    <row r="67" spans="1:4" ht="13.05" customHeight="1" x14ac:dyDescent="0.3">
      <c r="A67" s="173" t="s">
        <v>192</v>
      </c>
      <c r="B67" s="110"/>
      <c r="C67" s="110"/>
      <c r="D67" s="110"/>
    </row>
    <row r="68" spans="1:4" ht="13.05" customHeight="1" x14ac:dyDescent="0.3">
      <c r="A68" s="173" t="s">
        <v>193</v>
      </c>
      <c r="B68" s="110"/>
      <c r="C68" s="110"/>
      <c r="D68" s="110"/>
    </row>
    <row r="69" spans="1:4" ht="13.05" customHeight="1" x14ac:dyDescent="0.3">
      <c r="A69" s="172"/>
      <c r="B69" s="110"/>
      <c r="C69" s="110"/>
      <c r="D69" s="110"/>
    </row>
    <row r="70" spans="1:4" ht="13.05" customHeight="1" x14ac:dyDescent="0.3">
      <c r="A70" s="173" t="s">
        <v>194</v>
      </c>
      <c r="B70" s="110"/>
      <c r="C70" s="110"/>
      <c r="D70" s="110"/>
    </row>
    <row r="71" spans="1:4" ht="13.05" customHeight="1" x14ac:dyDescent="0.3">
      <c r="A71" s="172" t="s">
        <v>195</v>
      </c>
      <c r="B71" s="110"/>
      <c r="C71" s="110"/>
      <c r="D71" s="110"/>
    </row>
    <row r="72" spans="1:4" ht="13.05" customHeight="1" x14ac:dyDescent="0.3">
      <c r="A72" s="173" t="s">
        <v>158</v>
      </c>
      <c r="B72" s="110"/>
      <c r="C72" s="110"/>
      <c r="D72" s="110"/>
    </row>
    <row r="73" spans="1:4" ht="13.05" customHeight="1" x14ac:dyDescent="0.3">
      <c r="A73" s="172"/>
      <c r="B73" s="110"/>
      <c r="C73" s="110"/>
      <c r="D73" s="110"/>
    </row>
    <row r="74" spans="1:4" ht="13.05" customHeight="1" x14ac:dyDescent="0.3">
      <c r="A74" s="173" t="s">
        <v>196</v>
      </c>
      <c r="B74" s="110"/>
      <c r="C74" s="110"/>
      <c r="D74" s="110"/>
    </row>
    <row r="75" spans="1:4" ht="13.05" customHeight="1" x14ac:dyDescent="0.3">
      <c r="A75" s="173" t="s">
        <v>197</v>
      </c>
      <c r="B75" s="110"/>
      <c r="C75" s="110"/>
      <c r="D75" s="110"/>
    </row>
    <row r="76" spans="1:4" ht="13.05" customHeight="1" x14ac:dyDescent="0.3">
      <c r="A76" s="172" t="s">
        <v>198</v>
      </c>
      <c r="B76" s="110"/>
      <c r="C76" s="110"/>
      <c r="D76" s="110"/>
    </row>
    <row r="77" spans="1:4" ht="13.05" customHeight="1" x14ac:dyDescent="0.3">
      <c r="A77" s="172"/>
      <c r="B77" s="110"/>
      <c r="C77" s="110"/>
      <c r="D77" s="110"/>
    </row>
    <row r="78" spans="1:4" ht="13.05" customHeight="1" x14ac:dyDescent="0.3">
      <c r="A78" s="174" t="s">
        <v>199</v>
      </c>
      <c r="B78" s="110"/>
      <c r="C78" s="110"/>
      <c r="D78" s="110"/>
    </row>
    <row r="79" spans="1:4" ht="13.05" customHeight="1" x14ac:dyDescent="0.3">
      <c r="A79" s="173" t="s">
        <v>200</v>
      </c>
      <c r="B79" s="110"/>
      <c r="C79" s="110"/>
      <c r="D79" s="110"/>
    </row>
    <row r="80" spans="1:4" ht="13.05" customHeight="1" x14ac:dyDescent="0.3">
      <c r="A80" s="172" t="s">
        <v>201</v>
      </c>
      <c r="B80" s="110"/>
      <c r="C80" s="110"/>
      <c r="D80" s="110"/>
    </row>
    <row r="81" spans="1:4" ht="13.05" customHeight="1" x14ac:dyDescent="0.3">
      <c r="A81" s="172" t="s">
        <v>202</v>
      </c>
      <c r="B81" s="110"/>
      <c r="C81" s="110"/>
      <c r="D81" s="110"/>
    </row>
    <row r="82" spans="1:4" ht="13.05" customHeight="1" x14ac:dyDescent="0.3">
      <c r="A82" s="172" t="s">
        <v>203</v>
      </c>
      <c r="B82" s="110"/>
      <c r="C82" s="110"/>
      <c r="D82" s="110"/>
    </row>
    <row r="83" spans="1:4" ht="13.05" customHeight="1" x14ac:dyDescent="0.3">
      <c r="A83" s="172" t="s">
        <v>204</v>
      </c>
      <c r="B83" s="110"/>
      <c r="C83" s="110"/>
      <c r="D83" s="110"/>
    </row>
    <row r="84" spans="1:4" ht="13.05" customHeight="1" x14ac:dyDescent="0.3">
      <c r="A84" s="172" t="s">
        <v>205</v>
      </c>
      <c r="B84" s="110"/>
      <c r="C84" s="110"/>
      <c r="D84" s="110"/>
    </row>
    <row r="85" spans="1:4" ht="13.05" customHeight="1" x14ac:dyDescent="0.3">
      <c r="A85" s="172" t="s">
        <v>206</v>
      </c>
      <c r="B85" s="110"/>
      <c r="C85" s="110"/>
      <c r="D85" s="110"/>
    </row>
    <row r="86" spans="1:4" ht="13.05" customHeight="1" x14ac:dyDescent="0.3">
      <c r="A86" s="172" t="s">
        <v>207</v>
      </c>
      <c r="B86" s="110"/>
      <c r="C86" s="110"/>
      <c r="D86" s="110"/>
    </row>
    <row r="87" spans="1:4" ht="13.05" customHeight="1" x14ac:dyDescent="0.3">
      <c r="A87" s="172" t="s">
        <v>208</v>
      </c>
      <c r="B87" s="110"/>
      <c r="C87" s="110"/>
      <c r="D87" s="110"/>
    </row>
    <row r="88" spans="1:4" ht="13.05" customHeight="1" x14ac:dyDescent="0.3">
      <c r="A88" s="172" t="s">
        <v>209</v>
      </c>
      <c r="B88" s="110"/>
      <c r="C88" s="110"/>
      <c r="D88" s="110"/>
    </row>
    <row r="89" spans="1:4" ht="13.05" customHeight="1" x14ac:dyDescent="0.3">
      <c r="A89" s="172" t="s">
        <v>210</v>
      </c>
      <c r="B89" s="110"/>
      <c r="C89" s="110"/>
      <c r="D89" s="110"/>
    </row>
    <row r="90" spans="1:4" ht="13.05" customHeight="1" x14ac:dyDescent="0.3">
      <c r="A90" s="172" t="s">
        <v>211</v>
      </c>
      <c r="B90" s="110"/>
      <c r="C90" s="110"/>
      <c r="D90" s="110"/>
    </row>
    <row r="91" spans="1:4" ht="13.05" customHeight="1" x14ac:dyDescent="0.3">
      <c r="A91" s="172" t="s">
        <v>212</v>
      </c>
      <c r="B91" s="110"/>
      <c r="C91" s="110"/>
      <c r="D91" s="110"/>
    </row>
    <row r="92" spans="1:4" ht="13.05" customHeight="1" x14ac:dyDescent="0.3">
      <c r="A92" s="172"/>
      <c r="B92" s="110"/>
      <c r="C92" s="110"/>
      <c r="D92" s="110"/>
    </row>
    <row r="93" spans="1:4" ht="13.05" customHeight="1" x14ac:dyDescent="0.3">
      <c r="A93" s="174" t="s">
        <v>213</v>
      </c>
      <c r="B93" s="110"/>
      <c r="C93" s="110"/>
      <c r="D93" s="110"/>
    </row>
    <row r="94" spans="1:4" ht="13.05" customHeight="1" x14ac:dyDescent="0.3">
      <c r="A94" s="172" t="s">
        <v>214</v>
      </c>
      <c r="B94" s="110"/>
      <c r="C94" s="110"/>
      <c r="D94" s="110"/>
    </row>
    <row r="95" spans="1:4" ht="13.05" customHeight="1" x14ac:dyDescent="0.3">
      <c r="A95" s="173" t="s">
        <v>215</v>
      </c>
      <c r="B95" s="110"/>
      <c r="C95" s="110"/>
      <c r="D95" s="110"/>
    </row>
    <row r="96" spans="1:4" ht="13.05" customHeight="1" x14ac:dyDescent="0.3">
      <c r="A96" s="172" t="s">
        <v>216</v>
      </c>
      <c r="B96" s="110"/>
      <c r="C96" s="110"/>
      <c r="D96" s="110"/>
    </row>
    <row r="97" spans="1:4" ht="13.05" customHeight="1" x14ac:dyDescent="0.3">
      <c r="A97" s="172" t="s">
        <v>217</v>
      </c>
      <c r="B97" s="110"/>
      <c r="C97" s="110"/>
      <c r="D97" s="110"/>
    </row>
    <row r="98" spans="1:4" ht="13.05" customHeight="1" x14ac:dyDescent="0.3">
      <c r="A98" s="172" t="s">
        <v>218</v>
      </c>
      <c r="B98" s="110"/>
      <c r="C98" s="110"/>
      <c r="D98" s="110"/>
    </row>
    <row r="99" spans="1:4" ht="13.05" customHeight="1" x14ac:dyDescent="0.3">
      <c r="A99" s="172" t="s">
        <v>219</v>
      </c>
      <c r="B99" s="110"/>
      <c r="C99" s="110"/>
      <c r="D99" s="110"/>
    </row>
    <row r="100" spans="1:4" ht="13.05" customHeight="1" x14ac:dyDescent="0.3">
      <c r="A100" s="172" t="s">
        <v>220</v>
      </c>
      <c r="B100" s="110"/>
      <c r="C100" s="110"/>
      <c r="D100" s="110"/>
    </row>
    <row r="101" spans="1:4" ht="13.05" customHeight="1" x14ac:dyDescent="0.3">
      <c r="A101" s="172" t="s">
        <v>221</v>
      </c>
      <c r="B101" s="110"/>
      <c r="C101" s="110"/>
      <c r="D101" s="110"/>
    </row>
    <row r="102" spans="1:4" ht="13.05" customHeight="1" x14ac:dyDescent="0.3">
      <c r="A102" s="172" t="s">
        <v>222</v>
      </c>
      <c r="B102" s="110"/>
      <c r="C102" s="110"/>
      <c r="D102" s="110"/>
    </row>
    <row r="103" spans="1:4" ht="13.05" customHeight="1" x14ac:dyDescent="0.3">
      <c r="A103" s="172" t="s">
        <v>223</v>
      </c>
      <c r="B103" s="110"/>
      <c r="C103" s="110"/>
      <c r="D103" s="110"/>
    </row>
    <row r="104" spans="1:4" ht="13.05" customHeight="1" x14ac:dyDescent="0.3">
      <c r="A104" s="173" t="s">
        <v>224</v>
      </c>
      <c r="B104" s="110"/>
      <c r="C104" s="110"/>
      <c r="D104" s="110"/>
    </row>
    <row r="105" spans="1:4" ht="13.05" customHeight="1" x14ac:dyDescent="0.3">
      <c r="A105" s="172"/>
      <c r="B105" s="110"/>
      <c r="C105" s="110"/>
      <c r="D105" s="110"/>
    </row>
    <row r="106" spans="1:4" ht="13.05" customHeight="1" x14ac:dyDescent="0.3">
      <c r="A106" s="174" t="s">
        <v>225</v>
      </c>
      <c r="B106" s="110"/>
      <c r="C106" s="110"/>
      <c r="D106" s="110"/>
    </row>
    <row r="107" spans="1:4" ht="13.05" customHeight="1" x14ac:dyDescent="0.3">
      <c r="A107" s="172" t="s">
        <v>226</v>
      </c>
      <c r="B107" s="110"/>
      <c r="C107" s="110"/>
      <c r="D107" s="110"/>
    </row>
    <row r="108" spans="1:4" ht="13.05" customHeight="1" x14ac:dyDescent="0.3">
      <c r="A108" s="172" t="s">
        <v>227</v>
      </c>
      <c r="B108" s="110"/>
      <c r="C108" s="110"/>
      <c r="D108" s="110"/>
    </row>
    <row r="109" spans="1:4" ht="13.05" customHeight="1" x14ac:dyDescent="0.3">
      <c r="A109" s="172" t="s">
        <v>228</v>
      </c>
      <c r="B109" s="110"/>
      <c r="C109" s="110"/>
      <c r="D109" s="110"/>
    </row>
    <row r="110" spans="1:4" ht="13.05" customHeight="1" x14ac:dyDescent="0.3">
      <c r="A110" s="172" t="s">
        <v>229</v>
      </c>
      <c r="B110" s="110"/>
      <c r="C110" s="110"/>
      <c r="D110" s="110"/>
    </row>
    <row r="111" spans="1:4" ht="13.05" customHeight="1" x14ac:dyDescent="0.3">
      <c r="A111" s="172" t="s">
        <v>230</v>
      </c>
      <c r="B111" s="110"/>
      <c r="C111" s="110"/>
      <c r="D111" s="110"/>
    </row>
    <row r="112" spans="1:4" ht="13.05" customHeight="1" x14ac:dyDescent="0.3">
      <c r="A112" s="172" t="s">
        <v>231</v>
      </c>
      <c r="B112" s="110"/>
      <c r="C112" s="110"/>
      <c r="D112" s="110"/>
    </row>
    <row r="113" spans="1:4" ht="13.05" customHeight="1" x14ac:dyDescent="0.3">
      <c r="A113" s="172" t="s">
        <v>232</v>
      </c>
      <c r="B113" s="110"/>
      <c r="C113" s="110"/>
      <c r="D113" s="110"/>
    </row>
    <row r="114" spans="1:4" ht="13.05" customHeight="1" x14ac:dyDescent="0.3">
      <c r="A114" s="173" t="s">
        <v>233</v>
      </c>
      <c r="B114" s="110"/>
      <c r="C114" s="110"/>
      <c r="D114" s="110"/>
    </row>
    <row r="115" spans="1:4" ht="13.05" customHeight="1" x14ac:dyDescent="0.3">
      <c r="A115" s="172" t="s">
        <v>234</v>
      </c>
      <c r="B115" s="110"/>
      <c r="C115" s="110"/>
      <c r="D115" s="110"/>
    </row>
    <row r="116" spans="1:4" ht="13.05" customHeight="1" x14ac:dyDescent="0.3">
      <c r="A116" s="173" t="s">
        <v>224</v>
      </c>
      <c r="B116" s="110"/>
      <c r="C116" s="110"/>
      <c r="D116" s="110"/>
    </row>
    <row r="117" spans="1:4" ht="13.05" customHeight="1" x14ac:dyDescent="0.3">
      <c r="A117" s="172" t="s">
        <v>235</v>
      </c>
      <c r="B117" s="110"/>
      <c r="C117" s="110"/>
      <c r="D117" s="110"/>
    </row>
    <row r="118" spans="1:4" ht="13.05" customHeight="1" x14ac:dyDescent="0.3">
      <c r="A118" s="172" t="s">
        <v>236</v>
      </c>
      <c r="B118" s="110"/>
      <c r="C118" s="110"/>
      <c r="D118" s="110"/>
    </row>
    <row r="119" spans="1:4" ht="13.05" customHeight="1" x14ac:dyDescent="0.3">
      <c r="A119" s="172" t="s">
        <v>237</v>
      </c>
      <c r="B119" s="110"/>
      <c r="C119" s="110"/>
      <c r="D119" s="110"/>
    </row>
    <row r="120" spans="1:4" ht="13.05" customHeight="1" x14ac:dyDescent="0.3">
      <c r="A120" s="172"/>
      <c r="B120" s="110"/>
      <c r="C120" s="110"/>
      <c r="D120" s="110"/>
    </row>
    <row r="121" spans="1:4" ht="13.05" customHeight="1" x14ac:dyDescent="0.3">
      <c r="A121" s="174" t="s">
        <v>238</v>
      </c>
      <c r="B121" s="110"/>
      <c r="C121" s="110"/>
      <c r="D121" s="110"/>
    </row>
    <row r="122" spans="1:4" ht="13.05" customHeight="1" x14ac:dyDescent="0.3">
      <c r="A122" s="172" t="s">
        <v>239</v>
      </c>
      <c r="B122" s="110"/>
      <c r="C122" s="110"/>
      <c r="D122" s="110"/>
    </row>
    <row r="123" spans="1:4" ht="13.05" customHeight="1" x14ac:dyDescent="0.3">
      <c r="A123" s="172" t="s">
        <v>240</v>
      </c>
      <c r="B123" s="110"/>
      <c r="C123" s="110"/>
      <c r="D123" s="110"/>
    </row>
    <row r="124" spans="1:4" ht="13.05" customHeight="1" x14ac:dyDescent="0.3">
      <c r="A124" s="172"/>
      <c r="B124" s="110"/>
      <c r="C124" s="110"/>
      <c r="D124" s="110"/>
    </row>
    <row r="125" spans="1:4" ht="13.05" customHeight="1" x14ac:dyDescent="0.3">
      <c r="A125" s="174" t="s">
        <v>241</v>
      </c>
      <c r="B125" s="110"/>
      <c r="C125" s="110"/>
      <c r="D125" s="110"/>
    </row>
    <row r="126" spans="1:4" ht="13.05" customHeight="1" x14ac:dyDescent="0.3">
      <c r="A126" s="172" t="s">
        <v>242</v>
      </c>
      <c r="B126" s="110"/>
      <c r="C126" s="110"/>
      <c r="D126" s="110"/>
    </row>
    <row r="127" spans="1:4" ht="13.05" customHeight="1" x14ac:dyDescent="0.3">
      <c r="A127" s="172" t="s">
        <v>243</v>
      </c>
      <c r="B127" s="110"/>
      <c r="C127" s="110"/>
      <c r="D127" s="110"/>
    </row>
    <row r="128" spans="1:4" ht="13.05" customHeight="1" x14ac:dyDescent="0.3">
      <c r="A128" s="172"/>
      <c r="B128" s="110"/>
      <c r="C128" s="110"/>
      <c r="D128" s="110"/>
    </row>
    <row r="129" spans="1:4" ht="13.05" customHeight="1" x14ac:dyDescent="0.3">
      <c r="A129" s="172" t="s">
        <v>244</v>
      </c>
      <c r="B129" s="110"/>
      <c r="C129" s="110"/>
      <c r="D129" s="110"/>
    </row>
    <row r="130" spans="1:4" ht="13.05" customHeight="1" x14ac:dyDescent="0.3">
      <c r="A130" s="173" t="s">
        <v>245</v>
      </c>
      <c r="B130" s="110"/>
      <c r="C130" s="110"/>
      <c r="D130" s="110"/>
    </row>
    <row r="131" spans="1:4" ht="13.05" customHeight="1" x14ac:dyDescent="0.3">
      <c r="A131" s="172" t="s">
        <v>246</v>
      </c>
      <c r="B131" s="110"/>
      <c r="C131" s="110"/>
      <c r="D131" s="110"/>
    </row>
    <row r="132" spans="1:4" ht="13.05" customHeight="1" x14ac:dyDescent="0.3">
      <c r="A132" s="172" t="s">
        <v>247</v>
      </c>
      <c r="B132" s="110"/>
      <c r="C132" s="110"/>
      <c r="D132" s="110"/>
    </row>
    <row r="133" spans="1:4" ht="13.05" customHeight="1" x14ac:dyDescent="0.3">
      <c r="A133" s="172" t="s">
        <v>248</v>
      </c>
      <c r="B133" s="110"/>
      <c r="C133" s="110"/>
      <c r="D133" s="110"/>
    </row>
    <row r="134" spans="1:4" ht="13.05" customHeight="1" x14ac:dyDescent="0.3">
      <c r="A134" s="173" t="s">
        <v>224</v>
      </c>
      <c r="B134" s="110"/>
      <c r="C134" s="110"/>
      <c r="D134" s="110"/>
    </row>
    <row r="135" spans="1:4" ht="13.05" customHeight="1" x14ac:dyDescent="0.3">
      <c r="A135" s="172" t="s">
        <v>249</v>
      </c>
      <c r="B135" s="110"/>
      <c r="C135" s="110"/>
      <c r="D135" s="110"/>
    </row>
    <row r="136" spans="1:4" ht="13.05" customHeight="1" x14ac:dyDescent="0.3">
      <c r="A136" s="173" t="s">
        <v>250</v>
      </c>
      <c r="B136" s="110"/>
      <c r="C136" s="110"/>
      <c r="D136" s="110"/>
    </row>
    <row r="137" spans="1:4" ht="13.05" customHeight="1" x14ac:dyDescent="0.3">
      <c r="A137" s="172" t="s">
        <v>251</v>
      </c>
      <c r="B137" s="110"/>
      <c r="C137" s="110"/>
      <c r="D137" s="110"/>
    </row>
    <row r="138" spans="1:4" ht="13.05" customHeight="1" x14ac:dyDescent="0.3">
      <c r="A138" s="172" t="s">
        <v>247</v>
      </c>
      <c r="B138" s="110"/>
      <c r="C138" s="110"/>
      <c r="D138" s="110"/>
    </row>
    <row r="139" spans="1:4" ht="13.05" customHeight="1" x14ac:dyDescent="0.3">
      <c r="A139" s="172" t="s">
        <v>248</v>
      </c>
      <c r="B139" s="110"/>
      <c r="C139" s="110"/>
      <c r="D139" s="110"/>
    </row>
    <row r="140" spans="1:4" ht="13.05" customHeight="1" x14ac:dyDescent="0.3">
      <c r="A140" s="173" t="s">
        <v>224</v>
      </c>
      <c r="B140" s="110"/>
      <c r="C140" s="110"/>
      <c r="D140" s="110"/>
    </row>
    <row r="141" spans="1:4" ht="13.05" customHeight="1" x14ac:dyDescent="0.3">
      <c r="A141" s="172" t="s">
        <v>252</v>
      </c>
      <c r="B141" s="110"/>
      <c r="C141" s="110"/>
      <c r="D141" s="110"/>
    </row>
    <row r="142" spans="1:4" ht="13.05" customHeight="1" x14ac:dyDescent="0.3">
      <c r="A142" s="173" t="s">
        <v>253</v>
      </c>
      <c r="B142" s="110"/>
      <c r="C142" s="110"/>
      <c r="D142" s="110"/>
    </row>
    <row r="143" spans="1:4" ht="13.05" customHeight="1" x14ac:dyDescent="0.3">
      <c r="A143" s="172" t="s">
        <v>254</v>
      </c>
      <c r="B143" s="110"/>
      <c r="C143" s="110"/>
      <c r="D143" s="110"/>
    </row>
    <row r="144" spans="1:4" ht="13.05" customHeight="1" x14ac:dyDescent="0.3">
      <c r="A144" s="172" t="s">
        <v>255</v>
      </c>
      <c r="B144" s="110"/>
      <c r="C144" s="110"/>
      <c r="D144" s="110"/>
    </row>
    <row r="145" spans="1:4" ht="13.05" customHeight="1" x14ac:dyDescent="0.3">
      <c r="A145" s="172" t="s">
        <v>248</v>
      </c>
      <c r="B145" s="110"/>
      <c r="C145" s="110"/>
      <c r="D145" s="110"/>
    </row>
    <row r="146" spans="1:4" ht="13.05" customHeight="1" x14ac:dyDescent="0.3">
      <c r="A146" s="173" t="s">
        <v>224</v>
      </c>
      <c r="B146" s="110"/>
      <c r="C146" s="110"/>
      <c r="D146" s="110"/>
    </row>
    <row r="147" spans="1:4" ht="13.05" customHeight="1" x14ac:dyDescent="0.3">
      <c r="A147" s="172" t="s">
        <v>256</v>
      </c>
      <c r="B147" s="110"/>
      <c r="C147" s="110"/>
      <c r="D147" s="110"/>
    </row>
    <row r="148" spans="1:4" ht="13.05" customHeight="1" x14ac:dyDescent="0.3">
      <c r="A148" s="173" t="s">
        <v>257</v>
      </c>
      <c r="B148" s="110"/>
      <c r="C148" s="110"/>
      <c r="D148" s="110"/>
    </row>
    <row r="149" spans="1:4" ht="13.05" customHeight="1" x14ac:dyDescent="0.3">
      <c r="A149" s="172" t="s">
        <v>258</v>
      </c>
      <c r="B149" s="110"/>
      <c r="C149" s="110"/>
      <c r="D149" s="110"/>
    </row>
    <row r="150" spans="1:4" ht="13.05" customHeight="1" x14ac:dyDescent="0.3">
      <c r="A150" s="172" t="s">
        <v>259</v>
      </c>
      <c r="B150" s="110"/>
      <c r="C150" s="110"/>
      <c r="D150" s="110"/>
    </row>
    <row r="151" spans="1:4" ht="13.05" customHeight="1" x14ac:dyDescent="0.3">
      <c r="A151" s="172" t="s">
        <v>248</v>
      </c>
      <c r="B151" s="110"/>
      <c r="C151" s="110"/>
      <c r="D151" s="110"/>
    </row>
    <row r="152" spans="1:4" ht="13.05" customHeight="1" x14ac:dyDescent="0.3">
      <c r="A152" s="173" t="s">
        <v>224</v>
      </c>
      <c r="B152" s="110"/>
      <c r="C152" s="110"/>
      <c r="D152" s="110"/>
    </row>
    <row r="153" spans="1:4" ht="13.05" customHeight="1" x14ac:dyDescent="0.3">
      <c r="A153" s="172" t="s">
        <v>260</v>
      </c>
      <c r="B153" s="110"/>
      <c r="C153" s="110"/>
      <c r="D153" s="110"/>
    </row>
    <row r="154" spans="1:4" ht="13.05" customHeight="1" x14ac:dyDescent="0.3">
      <c r="A154" s="173" t="s">
        <v>261</v>
      </c>
      <c r="B154" s="110"/>
      <c r="C154" s="110"/>
      <c r="D154" s="110"/>
    </row>
    <row r="155" spans="1:4" ht="13.05" customHeight="1" x14ac:dyDescent="0.3">
      <c r="A155" s="172" t="s">
        <v>262</v>
      </c>
      <c r="B155" s="110"/>
      <c r="C155" s="110"/>
      <c r="D155" s="110"/>
    </row>
    <row r="156" spans="1:4" ht="13.05" customHeight="1" x14ac:dyDescent="0.3">
      <c r="A156" s="172" t="s">
        <v>263</v>
      </c>
      <c r="B156" s="110"/>
      <c r="C156" s="110"/>
      <c r="D156" s="110"/>
    </row>
    <row r="157" spans="1:4" ht="13.05" customHeight="1" x14ac:dyDescent="0.3">
      <c r="A157" s="172" t="s">
        <v>248</v>
      </c>
      <c r="B157" s="110"/>
      <c r="C157" s="110"/>
      <c r="D157" s="110"/>
    </row>
    <row r="158" spans="1:4" ht="13.05" customHeight="1" x14ac:dyDescent="0.3">
      <c r="A158" s="173" t="s">
        <v>224</v>
      </c>
      <c r="B158" s="110"/>
      <c r="C158" s="110"/>
      <c r="D158" s="110"/>
    </row>
    <row r="159" spans="1:4" ht="13.05" customHeight="1" x14ac:dyDescent="0.3">
      <c r="A159" s="172" t="s">
        <v>264</v>
      </c>
      <c r="B159" s="110"/>
      <c r="C159" s="110"/>
      <c r="D159" s="110"/>
    </row>
    <row r="160" spans="1:4" ht="13.05" customHeight="1" x14ac:dyDescent="0.3">
      <c r="A160" s="173" t="s">
        <v>265</v>
      </c>
      <c r="B160" s="110"/>
      <c r="C160" s="110"/>
      <c r="D160" s="110"/>
    </row>
    <row r="161" spans="1:4" ht="13.05" customHeight="1" x14ac:dyDescent="0.3">
      <c r="A161" s="172" t="s">
        <v>266</v>
      </c>
      <c r="B161" s="110"/>
      <c r="C161" s="110"/>
      <c r="D161" s="110"/>
    </row>
    <row r="162" spans="1:4" ht="13.05" customHeight="1" x14ac:dyDescent="0.3">
      <c r="A162" s="172" t="s">
        <v>267</v>
      </c>
      <c r="B162" s="110"/>
      <c r="C162" s="110"/>
      <c r="D162" s="110"/>
    </row>
    <row r="163" spans="1:4" ht="13.05" customHeight="1" x14ac:dyDescent="0.3">
      <c r="A163" s="172" t="s">
        <v>268</v>
      </c>
      <c r="B163" s="110"/>
      <c r="C163" s="110"/>
      <c r="D163" s="110"/>
    </row>
    <row r="164" spans="1:4" ht="13.05" customHeight="1" x14ac:dyDescent="0.3">
      <c r="A164" s="173" t="s">
        <v>224</v>
      </c>
      <c r="B164" s="110"/>
      <c r="C164" s="110"/>
      <c r="D164" s="110"/>
    </row>
    <row r="165" spans="1:4" ht="13.05" customHeight="1" x14ac:dyDescent="0.3">
      <c r="A165" s="172" t="s">
        <v>269</v>
      </c>
      <c r="B165" s="110"/>
      <c r="C165" s="110"/>
      <c r="D165" s="110"/>
    </row>
    <row r="166" spans="1:4" ht="13.05" customHeight="1" x14ac:dyDescent="0.3">
      <c r="A166" s="173" t="s">
        <v>270</v>
      </c>
      <c r="B166" s="110"/>
      <c r="C166" s="110"/>
      <c r="D166" s="110"/>
    </row>
    <row r="167" spans="1:4" ht="13.05" customHeight="1" x14ac:dyDescent="0.3">
      <c r="A167" s="172" t="s">
        <v>271</v>
      </c>
      <c r="B167" s="110"/>
      <c r="C167" s="110"/>
      <c r="D167" s="110"/>
    </row>
    <row r="168" spans="1:4" ht="13.05" customHeight="1" x14ac:dyDescent="0.3">
      <c r="A168" s="172" t="s">
        <v>272</v>
      </c>
      <c r="B168" s="110"/>
      <c r="C168" s="110"/>
      <c r="D168" s="110"/>
    </row>
    <row r="169" spans="1:4" ht="13.05" customHeight="1" x14ac:dyDescent="0.3">
      <c r="A169" s="172" t="s">
        <v>268</v>
      </c>
      <c r="B169" s="110"/>
      <c r="C169" s="110"/>
      <c r="D169" s="110"/>
    </row>
    <row r="170" spans="1:4" ht="13.05" customHeight="1" x14ac:dyDescent="0.3">
      <c r="A170" s="173" t="s">
        <v>224</v>
      </c>
      <c r="B170" s="110"/>
      <c r="C170" s="110"/>
      <c r="D170" s="110"/>
    </row>
    <row r="171" spans="1:4" ht="13.05" customHeight="1" x14ac:dyDescent="0.3">
      <c r="A171" s="172"/>
      <c r="B171" s="110"/>
      <c r="C171" s="110"/>
      <c r="D171" s="110"/>
    </row>
    <row r="172" spans="1:4" ht="13.05" customHeight="1" x14ac:dyDescent="0.3">
      <c r="A172" s="174" t="s">
        <v>273</v>
      </c>
      <c r="B172" s="110"/>
      <c r="C172" s="110"/>
      <c r="D172" s="110"/>
    </row>
    <row r="173" spans="1:4" ht="13.05" customHeight="1" x14ac:dyDescent="0.3">
      <c r="A173" s="173" t="s">
        <v>274</v>
      </c>
      <c r="B173" s="110"/>
      <c r="C173" s="110"/>
      <c r="D173" s="110"/>
    </row>
    <row r="174" spans="1:4" ht="13.05" customHeight="1" x14ac:dyDescent="0.3">
      <c r="A174" s="172" t="s">
        <v>275</v>
      </c>
      <c r="B174" s="110"/>
      <c r="C174" s="110"/>
      <c r="D174" s="110"/>
    </row>
    <row r="175" spans="1:4" ht="13.05" customHeight="1" x14ac:dyDescent="0.3">
      <c r="A175" s="172" t="s">
        <v>276</v>
      </c>
      <c r="B175" s="110"/>
      <c r="C175" s="110"/>
      <c r="D175" s="110"/>
    </row>
    <row r="176" spans="1:4" ht="13.05" customHeight="1" x14ac:dyDescent="0.3">
      <c r="A176" s="173" t="s">
        <v>277</v>
      </c>
      <c r="B176" s="110"/>
      <c r="C176" s="110"/>
      <c r="D176" s="110"/>
    </row>
    <row r="177" spans="1:4" ht="13.05" customHeight="1" x14ac:dyDescent="0.3">
      <c r="A177" s="173" t="s">
        <v>278</v>
      </c>
      <c r="B177" s="110"/>
      <c r="C177" s="110"/>
      <c r="D177" s="110"/>
    </row>
    <row r="178" spans="1:4" ht="13.05" customHeight="1" x14ac:dyDescent="0.3">
      <c r="A178" s="172" t="s">
        <v>279</v>
      </c>
      <c r="B178" s="110"/>
      <c r="C178" s="110"/>
      <c r="D178" s="110"/>
    </row>
    <row r="179" spans="1:4" ht="13.05" customHeight="1" x14ac:dyDescent="0.3">
      <c r="A179" s="172" t="s">
        <v>280</v>
      </c>
      <c r="B179" s="110"/>
      <c r="C179" s="110"/>
      <c r="D179" s="110"/>
    </row>
    <row r="180" spans="1:4" ht="13.05" customHeight="1" x14ac:dyDescent="0.3">
      <c r="A180" s="172" t="s">
        <v>281</v>
      </c>
      <c r="B180" s="110"/>
      <c r="C180" s="110"/>
      <c r="D180" s="110"/>
    </row>
    <row r="181" spans="1:4" ht="13.05" customHeight="1" x14ac:dyDescent="0.3">
      <c r="A181" s="173" t="s">
        <v>282</v>
      </c>
      <c r="B181" s="110"/>
      <c r="C181" s="110"/>
      <c r="D181" s="110"/>
    </row>
    <row r="182" spans="1:4" ht="13.05" customHeight="1" x14ac:dyDescent="0.3">
      <c r="A182" s="173" t="s">
        <v>283</v>
      </c>
      <c r="B182" s="110"/>
      <c r="C182" s="110"/>
      <c r="D182" s="110"/>
    </row>
    <row r="183" spans="1:4" ht="13.05" customHeight="1" x14ac:dyDescent="0.3">
      <c r="A183" s="172" t="s">
        <v>279</v>
      </c>
      <c r="B183" s="110"/>
      <c r="C183" s="110"/>
      <c r="D183" s="110"/>
    </row>
    <row r="184" spans="1:4" ht="13.05" customHeight="1" x14ac:dyDescent="0.3">
      <c r="A184" s="172" t="s">
        <v>284</v>
      </c>
      <c r="B184" s="110"/>
      <c r="C184" s="110"/>
      <c r="D184" s="110"/>
    </row>
    <row r="185" spans="1:4" ht="13.05" customHeight="1" x14ac:dyDescent="0.3">
      <c r="A185" s="172" t="s">
        <v>281</v>
      </c>
      <c r="B185" s="110"/>
      <c r="C185" s="110"/>
      <c r="D185" s="110"/>
    </row>
    <row r="186" spans="1:4" ht="13.05" customHeight="1" x14ac:dyDescent="0.3">
      <c r="A186" s="173" t="s">
        <v>282</v>
      </c>
      <c r="B186" s="110"/>
      <c r="C186" s="110"/>
      <c r="D186" s="110"/>
    </row>
    <row r="187" spans="1:4" ht="13.05" customHeight="1" x14ac:dyDescent="0.3">
      <c r="A187" s="173" t="s">
        <v>285</v>
      </c>
      <c r="B187" s="110"/>
      <c r="C187" s="110"/>
      <c r="D187" s="110"/>
    </row>
    <row r="188" spans="1:4" ht="13.05" customHeight="1" x14ac:dyDescent="0.3">
      <c r="A188" s="172" t="s">
        <v>279</v>
      </c>
      <c r="B188" s="110"/>
      <c r="C188" s="110"/>
      <c r="D188" s="110"/>
    </row>
    <row r="189" spans="1:4" ht="13.05" customHeight="1" x14ac:dyDescent="0.3">
      <c r="A189" s="172" t="s">
        <v>286</v>
      </c>
      <c r="B189" s="110"/>
      <c r="C189" s="110"/>
      <c r="D189" s="110"/>
    </row>
    <row r="190" spans="1:4" ht="13.05" customHeight="1" x14ac:dyDescent="0.3">
      <c r="A190" s="172" t="s">
        <v>281</v>
      </c>
      <c r="B190" s="110"/>
      <c r="C190" s="110"/>
      <c r="D190" s="110"/>
    </row>
    <row r="191" spans="1:4" ht="13.05" customHeight="1" x14ac:dyDescent="0.3">
      <c r="A191" s="173" t="s">
        <v>282</v>
      </c>
      <c r="B191" s="110"/>
      <c r="C191" s="110"/>
      <c r="D191" s="110"/>
    </row>
    <row r="192" spans="1:4" ht="13.05" customHeight="1" x14ac:dyDescent="0.3">
      <c r="A192" s="173" t="s">
        <v>287</v>
      </c>
      <c r="B192" s="110"/>
      <c r="C192" s="110"/>
      <c r="D192" s="110"/>
    </row>
    <row r="193" spans="1:4" ht="13.05" customHeight="1" x14ac:dyDescent="0.3">
      <c r="A193" s="172"/>
      <c r="B193" s="110"/>
      <c r="C193" s="110"/>
      <c r="D193" s="110"/>
    </row>
    <row r="194" spans="1:4" ht="13.05" customHeight="1" x14ac:dyDescent="0.3">
      <c r="A194" s="174" t="s">
        <v>288</v>
      </c>
      <c r="B194" s="110"/>
      <c r="C194" s="110"/>
      <c r="D194" s="110"/>
    </row>
    <row r="195" spans="1:4" ht="13.05" customHeight="1" x14ac:dyDescent="0.3">
      <c r="A195" s="172" t="s">
        <v>289</v>
      </c>
      <c r="B195" s="110"/>
      <c r="C195" s="110"/>
      <c r="D195" s="110"/>
    </row>
    <row r="196" spans="1:4" ht="13.05" customHeight="1" x14ac:dyDescent="0.3">
      <c r="A196" s="172" t="s">
        <v>290</v>
      </c>
      <c r="B196" s="110"/>
      <c r="C196" s="110"/>
      <c r="D196" s="110"/>
    </row>
    <row r="197" spans="1:4" ht="13.05" customHeight="1" x14ac:dyDescent="0.3">
      <c r="A197" s="172" t="s">
        <v>291</v>
      </c>
      <c r="B197" s="110"/>
      <c r="C197" s="110"/>
      <c r="D197" s="110"/>
    </row>
    <row r="198" spans="1:4" ht="13.05" customHeight="1" x14ac:dyDescent="0.3">
      <c r="A198" s="172" t="s">
        <v>292</v>
      </c>
      <c r="B198" s="110"/>
      <c r="C198" s="110"/>
      <c r="D198" s="110"/>
    </row>
    <row r="199" spans="1:4" ht="13.05" customHeight="1" x14ac:dyDescent="0.3">
      <c r="A199" s="172" t="s">
        <v>293</v>
      </c>
      <c r="B199" s="110"/>
      <c r="C199" s="110"/>
      <c r="D199" s="110"/>
    </row>
    <row r="200" spans="1:4" ht="13.05" customHeight="1" x14ac:dyDescent="0.3">
      <c r="A200" s="172" t="s">
        <v>294</v>
      </c>
      <c r="B200" s="110"/>
      <c r="C200" s="110"/>
      <c r="D200" s="110"/>
    </row>
    <row r="201" spans="1:4" ht="13.05" customHeight="1" x14ac:dyDescent="0.3">
      <c r="A201" s="172" t="s">
        <v>295</v>
      </c>
      <c r="B201" s="110"/>
      <c r="C201" s="110"/>
      <c r="D201" s="110"/>
    </row>
    <row r="202" spans="1:4" ht="13.05" customHeight="1" x14ac:dyDescent="0.3">
      <c r="A202" s="172" t="s">
        <v>296</v>
      </c>
      <c r="B202" s="110"/>
      <c r="C202" s="110"/>
      <c r="D202" s="110"/>
    </row>
    <row r="203" spans="1:4" ht="13.05" customHeight="1" x14ac:dyDescent="0.3">
      <c r="A203" s="172"/>
      <c r="B203" s="110"/>
      <c r="C203" s="110"/>
      <c r="D203" s="110"/>
    </row>
    <row r="204" spans="1:4" ht="13.05" customHeight="1" x14ac:dyDescent="0.3">
      <c r="A204" s="174" t="s">
        <v>297</v>
      </c>
      <c r="B204" s="110"/>
      <c r="C204" s="110"/>
      <c r="D204" s="110"/>
    </row>
    <row r="205" spans="1:4" ht="13.05" customHeight="1" x14ac:dyDescent="0.3">
      <c r="A205" s="174" t="s">
        <v>298</v>
      </c>
      <c r="B205" s="110"/>
      <c r="C205" s="110"/>
      <c r="D205" s="110"/>
    </row>
    <row r="206" spans="1:4" ht="13.05" customHeight="1" x14ac:dyDescent="0.3">
      <c r="A206" s="174" t="s">
        <v>299</v>
      </c>
      <c r="B206" s="110"/>
      <c r="C206" s="110"/>
      <c r="D206" s="110"/>
    </row>
    <row r="207" spans="1:4" ht="13.05" customHeight="1" x14ac:dyDescent="0.3">
      <c r="A207" s="174" t="s">
        <v>300</v>
      </c>
      <c r="B207" s="110"/>
      <c r="C207" s="110"/>
      <c r="D207" s="110"/>
    </row>
    <row r="208" spans="1:4" ht="13.05" customHeight="1" x14ac:dyDescent="0.3">
      <c r="A208" s="174" t="s">
        <v>301</v>
      </c>
      <c r="B208" s="110"/>
      <c r="C208" s="110"/>
      <c r="D208" s="110"/>
    </row>
    <row r="209" spans="1:4" ht="13.05" customHeight="1" x14ac:dyDescent="0.3">
      <c r="A209" s="174" t="s">
        <v>297</v>
      </c>
      <c r="B209" s="110"/>
      <c r="C209" s="110"/>
      <c r="D209" s="110"/>
    </row>
    <row r="210" spans="1:4" ht="13.05" customHeight="1" x14ac:dyDescent="0.3">
      <c r="A210" s="172" t="s">
        <v>302</v>
      </c>
      <c r="B210" s="110"/>
      <c r="C210" s="110"/>
      <c r="D210" s="110"/>
    </row>
    <row r="211" spans="1:4" ht="13.05" customHeight="1" x14ac:dyDescent="0.3">
      <c r="A211" s="172" t="s">
        <v>303</v>
      </c>
      <c r="B211" s="110"/>
      <c r="C211" s="110"/>
      <c r="D211" s="110"/>
    </row>
    <row r="212" spans="1:4" ht="13.05" customHeight="1" x14ac:dyDescent="0.3">
      <c r="A212" s="172"/>
      <c r="B212" s="110"/>
      <c r="C212" s="110"/>
      <c r="D212" s="110"/>
    </row>
    <row r="213" spans="1:4" ht="13.05" customHeight="1" x14ac:dyDescent="0.3">
      <c r="A213" s="173" t="s">
        <v>304</v>
      </c>
      <c r="B213" s="110"/>
      <c r="C213" s="110"/>
      <c r="D213" s="110"/>
    </row>
    <row r="214" spans="1:4" ht="13.05" customHeight="1" x14ac:dyDescent="0.3">
      <c r="A214" s="172" t="s">
        <v>305</v>
      </c>
      <c r="B214" s="110"/>
      <c r="C214" s="110"/>
      <c r="D214" s="110"/>
    </row>
    <row r="215" spans="1:4" ht="13.05" customHeight="1" x14ac:dyDescent="0.3">
      <c r="A215" s="173" t="s">
        <v>306</v>
      </c>
      <c r="B215" s="110"/>
      <c r="C215" s="110"/>
      <c r="D215" s="110"/>
    </row>
    <row r="216" spans="1:4" ht="13.05" customHeight="1" x14ac:dyDescent="0.3">
      <c r="A216" s="173" t="s">
        <v>307</v>
      </c>
      <c r="B216" s="110"/>
      <c r="C216" s="110"/>
      <c r="D216" s="110"/>
    </row>
    <row r="217" spans="1:4" ht="13.05" customHeight="1" x14ac:dyDescent="0.3">
      <c r="A217" s="173" t="s">
        <v>308</v>
      </c>
      <c r="B217" s="110"/>
      <c r="C217" s="110"/>
      <c r="D217" s="110"/>
    </row>
    <row r="218" spans="1:4" ht="13.05" customHeight="1" x14ac:dyDescent="0.3">
      <c r="A218" s="173" t="s">
        <v>309</v>
      </c>
      <c r="B218" s="110"/>
      <c r="C218" s="110"/>
      <c r="D218" s="110"/>
    </row>
    <row r="219" spans="1:4" ht="13.05" customHeight="1" x14ac:dyDescent="0.3">
      <c r="A219" s="172"/>
      <c r="B219" s="110"/>
      <c r="C219" s="110"/>
      <c r="D219" s="110"/>
    </row>
    <row r="220" spans="1:4" ht="13.05" customHeight="1" x14ac:dyDescent="0.3">
      <c r="A220" s="172" t="s">
        <v>310</v>
      </c>
      <c r="B220" s="110"/>
      <c r="C220" s="110"/>
      <c r="D220" s="110"/>
    </row>
    <row r="221" spans="1:4" ht="13.05" customHeight="1" x14ac:dyDescent="0.3">
      <c r="A221" s="172" t="s">
        <v>311</v>
      </c>
      <c r="B221" s="110"/>
      <c r="C221" s="110"/>
      <c r="D221" s="110"/>
    </row>
    <row r="222" spans="1:4" ht="13.05" customHeight="1" x14ac:dyDescent="0.3">
      <c r="A222" s="172" t="s">
        <v>312</v>
      </c>
      <c r="B222" s="110"/>
      <c r="C222" s="110"/>
      <c r="D222" s="110"/>
    </row>
    <row r="223" spans="1:4" ht="13.05" customHeight="1" x14ac:dyDescent="0.3">
      <c r="A223" s="172" t="s">
        <v>313</v>
      </c>
      <c r="B223" s="110"/>
      <c r="C223" s="110"/>
      <c r="D223" s="110"/>
    </row>
    <row r="224" spans="1:4" ht="13.05" customHeight="1" x14ac:dyDescent="0.3">
      <c r="A224" s="172"/>
      <c r="B224" s="110"/>
      <c r="C224" s="110"/>
      <c r="D224" s="110"/>
    </row>
    <row r="225" spans="1:4" ht="13.05" customHeight="1" x14ac:dyDescent="0.3">
      <c r="A225" s="173" t="s">
        <v>314</v>
      </c>
      <c r="B225" s="110"/>
      <c r="C225" s="110"/>
      <c r="D225" s="110"/>
    </row>
    <row r="226" spans="1:4" ht="13.05" customHeight="1" x14ac:dyDescent="0.3">
      <c r="A226" s="174" t="s">
        <v>315</v>
      </c>
      <c r="B226" s="110"/>
      <c r="C226" s="110"/>
      <c r="D226" s="110"/>
    </row>
    <row r="227" spans="1:4" ht="13.05" customHeight="1" x14ac:dyDescent="0.3">
      <c r="A227" s="172" t="s">
        <v>316</v>
      </c>
      <c r="B227" s="110"/>
      <c r="C227" s="110"/>
      <c r="D227" s="110"/>
    </row>
    <row r="228" spans="1:4" ht="13.05" customHeight="1" x14ac:dyDescent="0.3">
      <c r="A228" s="172" t="s">
        <v>317</v>
      </c>
      <c r="B228" s="110"/>
      <c r="C228" s="110"/>
      <c r="D228" s="110"/>
    </row>
    <row r="229" spans="1:4" ht="13.05" customHeight="1" x14ac:dyDescent="0.3">
      <c r="A229" s="173" t="s">
        <v>318</v>
      </c>
      <c r="B229" s="110"/>
      <c r="C229" s="110"/>
      <c r="D229" s="110"/>
    </row>
    <row r="230" spans="1:4" ht="13.05" customHeight="1" x14ac:dyDescent="0.3">
      <c r="A230" s="172" t="s">
        <v>319</v>
      </c>
      <c r="B230" s="110"/>
      <c r="C230" s="110"/>
      <c r="D230" s="110"/>
    </row>
    <row r="231" spans="1:4" ht="13.05" customHeight="1" x14ac:dyDescent="0.3">
      <c r="A231" s="172" t="s">
        <v>320</v>
      </c>
      <c r="B231" s="110"/>
      <c r="C231" s="110"/>
      <c r="D231" s="110"/>
    </row>
    <row r="232" spans="1:4" ht="13.05" customHeight="1" x14ac:dyDescent="0.3">
      <c r="A232" s="172" t="s">
        <v>321</v>
      </c>
      <c r="B232" s="110"/>
      <c r="C232" s="110"/>
      <c r="D232" s="110"/>
    </row>
    <row r="233" spans="1:4" ht="13.05" customHeight="1" x14ac:dyDescent="0.3">
      <c r="A233" s="172" t="s">
        <v>322</v>
      </c>
      <c r="B233" s="110"/>
      <c r="C233" s="110"/>
      <c r="D233" s="110"/>
    </row>
    <row r="234" spans="1:4" ht="13.05" customHeight="1" x14ac:dyDescent="0.3">
      <c r="A234" s="172" t="s">
        <v>323</v>
      </c>
      <c r="B234" s="110"/>
      <c r="C234" s="110"/>
      <c r="D234" s="110"/>
    </row>
    <row r="235" spans="1:4" ht="13.05" customHeight="1" x14ac:dyDescent="0.3">
      <c r="A235" s="173" t="s">
        <v>324</v>
      </c>
      <c r="B235" s="110"/>
      <c r="C235" s="110"/>
      <c r="D235" s="110"/>
    </row>
    <row r="236" spans="1:4" ht="13.05" customHeight="1" x14ac:dyDescent="0.3">
      <c r="A236" s="172" t="s">
        <v>325</v>
      </c>
      <c r="B236" s="110"/>
      <c r="C236" s="110"/>
      <c r="D236" s="110"/>
    </row>
    <row r="237" spans="1:4" ht="13.05" customHeight="1" x14ac:dyDescent="0.3">
      <c r="A237" s="172"/>
      <c r="B237" s="110"/>
      <c r="C237" s="110"/>
      <c r="D237" s="110"/>
    </row>
    <row r="238" spans="1:4" ht="13.05" customHeight="1" x14ac:dyDescent="0.3">
      <c r="A238" s="173" t="s">
        <v>326</v>
      </c>
      <c r="B238" s="110"/>
      <c r="C238" s="110"/>
      <c r="D238" s="110"/>
    </row>
    <row r="239" spans="1:4" ht="13.05" customHeight="1" x14ac:dyDescent="0.3">
      <c r="A239" s="174" t="s">
        <v>327</v>
      </c>
      <c r="B239" s="110"/>
      <c r="C239" s="110"/>
      <c r="D239" s="110"/>
    </row>
    <row r="240" spans="1:4" ht="13.05" customHeight="1" x14ac:dyDescent="0.3">
      <c r="A240" s="173" t="s">
        <v>328</v>
      </c>
      <c r="B240" s="110"/>
      <c r="C240" s="110"/>
      <c r="D240" s="110"/>
    </row>
    <row r="241" spans="1:4" ht="13.05" customHeight="1" x14ac:dyDescent="0.3">
      <c r="A241" s="172" t="s">
        <v>316</v>
      </c>
      <c r="B241" s="110"/>
      <c r="C241" s="110"/>
      <c r="D241" s="110"/>
    </row>
    <row r="242" spans="1:4" ht="13.05" customHeight="1" x14ac:dyDescent="0.3">
      <c r="A242" s="172" t="s">
        <v>329</v>
      </c>
      <c r="B242" s="110"/>
      <c r="C242" s="110"/>
      <c r="D242" s="110"/>
    </row>
    <row r="243" spans="1:4" ht="13.05" customHeight="1" x14ac:dyDescent="0.3">
      <c r="A243" s="173" t="s">
        <v>318</v>
      </c>
      <c r="B243" s="110"/>
      <c r="C243" s="110"/>
      <c r="D243" s="110"/>
    </row>
    <row r="244" spans="1:4" ht="13.05" customHeight="1" x14ac:dyDescent="0.3">
      <c r="A244" s="172" t="s">
        <v>330</v>
      </c>
      <c r="B244" s="110"/>
      <c r="C244" s="110"/>
      <c r="D244" s="110"/>
    </row>
    <row r="245" spans="1:4" ht="13.05" customHeight="1" x14ac:dyDescent="0.3">
      <c r="A245" s="172" t="s">
        <v>331</v>
      </c>
      <c r="B245" s="110"/>
      <c r="C245" s="110"/>
      <c r="D245" s="110"/>
    </row>
    <row r="246" spans="1:4" ht="13.05" customHeight="1" x14ac:dyDescent="0.3">
      <c r="A246" s="172" t="s">
        <v>332</v>
      </c>
      <c r="B246" s="110"/>
      <c r="C246" s="110"/>
      <c r="D246" s="110"/>
    </row>
    <row r="247" spans="1:4" ht="13.05" customHeight="1" x14ac:dyDescent="0.3">
      <c r="A247" s="173" t="s">
        <v>324</v>
      </c>
      <c r="B247" s="110"/>
      <c r="C247" s="110"/>
      <c r="D247" s="110"/>
    </row>
    <row r="248" spans="1:4" ht="13.05" customHeight="1" x14ac:dyDescent="0.3">
      <c r="A248" s="172" t="s">
        <v>333</v>
      </c>
      <c r="B248" s="110"/>
      <c r="C248" s="110"/>
      <c r="D248" s="110"/>
    </row>
    <row r="249" spans="1:4" ht="13.05" customHeight="1" x14ac:dyDescent="0.3">
      <c r="A249" s="173" t="s">
        <v>334</v>
      </c>
      <c r="B249" s="110"/>
      <c r="C249" s="110"/>
      <c r="D249" s="110"/>
    </row>
    <row r="250" spans="1:4" ht="13.05" customHeight="1" x14ac:dyDescent="0.3">
      <c r="A250" s="172" t="s">
        <v>335</v>
      </c>
      <c r="B250" s="110"/>
      <c r="C250" s="110"/>
      <c r="D250" s="110"/>
    </row>
    <row r="251" spans="1:4" ht="13.05" customHeight="1" x14ac:dyDescent="0.3">
      <c r="A251" s="172" t="s">
        <v>336</v>
      </c>
      <c r="B251" s="110"/>
      <c r="C251" s="110"/>
      <c r="D251" s="110"/>
    </row>
    <row r="252" spans="1:4" ht="13.05" customHeight="1" x14ac:dyDescent="0.3">
      <c r="A252" s="172" t="s">
        <v>337</v>
      </c>
      <c r="B252" s="110"/>
      <c r="C252" s="110"/>
      <c r="D252" s="110"/>
    </row>
    <row r="253" spans="1:4" ht="13.05" customHeight="1" x14ac:dyDescent="0.3">
      <c r="A253" s="173" t="s">
        <v>324</v>
      </c>
      <c r="B253" s="110"/>
      <c r="C253" s="110"/>
      <c r="D253" s="110"/>
    </row>
    <row r="254" spans="1:4" ht="13.05" customHeight="1" x14ac:dyDescent="0.3">
      <c r="A254" s="172" t="s">
        <v>338</v>
      </c>
      <c r="B254" s="110"/>
      <c r="C254" s="110"/>
      <c r="D254" s="110"/>
    </row>
    <row r="255" spans="1:4" ht="13.05" customHeight="1" x14ac:dyDescent="0.3">
      <c r="A255" s="173" t="s">
        <v>339</v>
      </c>
      <c r="B255" s="110"/>
      <c r="C255" s="110"/>
      <c r="D255" s="110"/>
    </row>
    <row r="256" spans="1:4" ht="13.05" customHeight="1" x14ac:dyDescent="0.3">
      <c r="A256" s="172" t="s">
        <v>340</v>
      </c>
      <c r="B256" s="110"/>
      <c r="C256" s="110"/>
      <c r="D256" s="110"/>
    </row>
    <row r="257" spans="1:4" ht="13.05" customHeight="1" x14ac:dyDescent="0.3">
      <c r="A257" s="172" t="s">
        <v>341</v>
      </c>
      <c r="B257" s="110"/>
      <c r="C257" s="110"/>
      <c r="D257" s="110"/>
    </row>
    <row r="258" spans="1:4" ht="13.05" customHeight="1" x14ac:dyDescent="0.3">
      <c r="A258" s="172" t="s">
        <v>342</v>
      </c>
      <c r="B258" s="110"/>
      <c r="C258" s="110"/>
      <c r="D258" s="110"/>
    </row>
    <row r="259" spans="1:4" ht="13.05" customHeight="1" x14ac:dyDescent="0.3">
      <c r="A259" s="173" t="s">
        <v>324</v>
      </c>
      <c r="B259" s="110"/>
      <c r="C259" s="110"/>
      <c r="D259" s="110"/>
    </row>
    <row r="260" spans="1:4" ht="13.05" customHeight="1" x14ac:dyDescent="0.3">
      <c r="A260" s="172" t="s">
        <v>343</v>
      </c>
      <c r="B260" s="110"/>
      <c r="C260" s="110"/>
      <c r="D260" s="110"/>
    </row>
    <row r="261" spans="1:4" ht="13.05" customHeight="1" x14ac:dyDescent="0.3">
      <c r="A261" s="173" t="s">
        <v>344</v>
      </c>
      <c r="B261" s="110"/>
      <c r="C261" s="110"/>
      <c r="D261" s="110"/>
    </row>
    <row r="262" spans="1:4" ht="13.05" customHeight="1" x14ac:dyDescent="0.3">
      <c r="A262" s="172" t="s">
        <v>345</v>
      </c>
      <c r="B262" s="110"/>
      <c r="C262" s="110"/>
      <c r="D262" s="110"/>
    </row>
    <row r="263" spans="1:4" ht="13.05" customHeight="1" x14ac:dyDescent="0.3">
      <c r="A263" s="172" t="s">
        <v>346</v>
      </c>
      <c r="B263" s="110"/>
      <c r="C263" s="110"/>
      <c r="D263" s="110"/>
    </row>
    <row r="264" spans="1:4" ht="13.05" customHeight="1" x14ac:dyDescent="0.3">
      <c r="A264" s="172" t="s">
        <v>347</v>
      </c>
      <c r="B264" s="110"/>
      <c r="C264" s="110"/>
      <c r="D264" s="110"/>
    </row>
    <row r="265" spans="1:4" ht="13.05" customHeight="1" x14ac:dyDescent="0.3">
      <c r="A265" s="173" t="s">
        <v>324</v>
      </c>
      <c r="B265" s="110"/>
      <c r="C265" s="110"/>
      <c r="D265" s="110"/>
    </row>
    <row r="266" spans="1:4" ht="13.05" customHeight="1" x14ac:dyDescent="0.3">
      <c r="A266" s="173" t="s">
        <v>348</v>
      </c>
      <c r="B266" s="110"/>
      <c r="C266" s="110"/>
      <c r="D266" s="110"/>
    </row>
    <row r="267" spans="1:4" ht="13.05" customHeight="1" x14ac:dyDescent="0.3">
      <c r="A267" s="172" t="s">
        <v>349</v>
      </c>
      <c r="B267" s="110"/>
      <c r="C267" s="110"/>
      <c r="D267" s="110"/>
    </row>
    <row r="268" spans="1:4" ht="13.05" customHeight="1" x14ac:dyDescent="0.3">
      <c r="A268" s="172" t="s">
        <v>350</v>
      </c>
      <c r="B268" s="110"/>
      <c r="C268" s="110"/>
      <c r="D268" s="110"/>
    </row>
    <row r="269" spans="1:4" ht="13.05" customHeight="1" x14ac:dyDescent="0.3">
      <c r="A269" s="172" t="s">
        <v>351</v>
      </c>
      <c r="B269" s="110"/>
      <c r="C269" s="110"/>
      <c r="D269" s="110"/>
    </row>
    <row r="270" spans="1:4" ht="13.05" customHeight="1" x14ac:dyDescent="0.3">
      <c r="A270" s="173" t="s">
        <v>324</v>
      </c>
      <c r="B270" s="110"/>
      <c r="C270" s="110"/>
      <c r="D270" s="110"/>
    </row>
    <row r="271" spans="1:4" ht="13.05" customHeight="1" x14ac:dyDescent="0.3">
      <c r="A271" s="173" t="s">
        <v>352</v>
      </c>
      <c r="B271" s="110"/>
      <c r="C271" s="110"/>
      <c r="D271" s="110"/>
    </row>
    <row r="272" spans="1:4" ht="13.05" customHeight="1" x14ac:dyDescent="0.3">
      <c r="A272" s="172" t="s">
        <v>353</v>
      </c>
      <c r="B272" s="110"/>
      <c r="C272" s="110"/>
      <c r="D272" s="110"/>
    </row>
    <row r="273" spans="1:4" ht="13.05" customHeight="1" x14ac:dyDescent="0.3">
      <c r="A273" s="172" t="s">
        <v>354</v>
      </c>
      <c r="B273" s="110"/>
      <c r="C273" s="110"/>
      <c r="D273" s="110"/>
    </row>
    <row r="274" spans="1:4" ht="13.05" customHeight="1" x14ac:dyDescent="0.3">
      <c r="A274" s="172" t="s">
        <v>355</v>
      </c>
      <c r="B274" s="110"/>
      <c r="C274" s="110"/>
      <c r="D274" s="110"/>
    </row>
    <row r="275" spans="1:4" ht="13.05" customHeight="1" x14ac:dyDescent="0.3">
      <c r="A275" s="173" t="s">
        <v>324</v>
      </c>
      <c r="B275" s="110"/>
      <c r="C275" s="110"/>
      <c r="D275" s="110"/>
    </row>
    <row r="276" spans="1:4" ht="13.05" customHeight="1" x14ac:dyDescent="0.3">
      <c r="A276" s="172" t="s">
        <v>356</v>
      </c>
      <c r="B276" s="110"/>
      <c r="C276" s="110"/>
      <c r="D276" s="110"/>
    </row>
    <row r="277" spans="1:4" ht="13.05" customHeight="1" x14ac:dyDescent="0.3">
      <c r="A277" s="172" t="s">
        <v>357</v>
      </c>
      <c r="B277" s="110"/>
      <c r="C277" s="110"/>
      <c r="D277" s="110"/>
    </row>
    <row r="278" spans="1:4" ht="13.05" customHeight="1" x14ac:dyDescent="0.3">
      <c r="A278" s="172"/>
      <c r="B278" s="110"/>
      <c r="C278" s="110"/>
      <c r="D278" s="110"/>
    </row>
    <row r="279" spans="1:4" ht="13.05" customHeight="1" x14ac:dyDescent="0.3">
      <c r="A279" s="173" t="s">
        <v>358</v>
      </c>
      <c r="B279" s="110"/>
      <c r="C279" s="110"/>
      <c r="D279" s="110"/>
    </row>
    <row r="280" spans="1:4" ht="13.05" customHeight="1" x14ac:dyDescent="0.3">
      <c r="A280" s="174" t="s">
        <v>359</v>
      </c>
      <c r="B280" s="110"/>
      <c r="C280" s="110"/>
      <c r="D280" s="110"/>
    </row>
    <row r="281" spans="1:4" ht="13.05" customHeight="1" x14ac:dyDescent="0.3">
      <c r="A281" s="172" t="s">
        <v>360</v>
      </c>
      <c r="B281" s="110"/>
      <c r="C281" s="110"/>
      <c r="D281" s="110"/>
    </row>
    <row r="282" spans="1:4" ht="13.05" customHeight="1" x14ac:dyDescent="0.3">
      <c r="A282" s="173" t="s">
        <v>361</v>
      </c>
      <c r="B282" s="110"/>
      <c r="C282" s="110"/>
      <c r="D282" s="110"/>
    </row>
    <row r="283" spans="1:4" ht="13.05" customHeight="1" x14ac:dyDescent="0.3">
      <c r="A283" s="172" t="s">
        <v>362</v>
      </c>
      <c r="B283" s="110"/>
      <c r="C283" s="110"/>
      <c r="D283" s="110"/>
    </row>
    <row r="284" spans="1:4" ht="13.05" customHeight="1" x14ac:dyDescent="0.3">
      <c r="A284" s="172" t="s">
        <v>363</v>
      </c>
      <c r="B284" s="110"/>
      <c r="C284" s="110"/>
      <c r="D284" s="110"/>
    </row>
    <row r="285" spans="1:4" ht="13.05" customHeight="1" x14ac:dyDescent="0.3">
      <c r="A285" s="172" t="s">
        <v>364</v>
      </c>
      <c r="B285" s="110"/>
      <c r="C285" s="110"/>
      <c r="D285" s="110"/>
    </row>
    <row r="286" spans="1:4" ht="13.05" customHeight="1" x14ac:dyDescent="0.3">
      <c r="A286" s="173" t="s">
        <v>324</v>
      </c>
      <c r="B286" s="110"/>
      <c r="C286" s="110"/>
      <c r="D286" s="110"/>
    </row>
    <row r="287" spans="1:4" ht="13.05" customHeight="1" x14ac:dyDescent="0.3">
      <c r="A287" s="173" t="s">
        <v>365</v>
      </c>
      <c r="B287" s="110"/>
      <c r="C287" s="110"/>
      <c r="D287" s="110"/>
    </row>
    <row r="288" spans="1:4" ht="13.05" customHeight="1" x14ac:dyDescent="0.3">
      <c r="A288" s="172" t="s">
        <v>366</v>
      </c>
      <c r="B288" s="110"/>
      <c r="C288" s="110"/>
      <c r="D288" s="110"/>
    </row>
    <row r="289" spans="1:4" ht="13.05" customHeight="1" x14ac:dyDescent="0.3">
      <c r="A289" s="172" t="s">
        <v>367</v>
      </c>
      <c r="B289" s="110"/>
      <c r="C289" s="110"/>
      <c r="D289" s="110"/>
    </row>
    <row r="290" spans="1:4" ht="13.05" customHeight="1" x14ac:dyDescent="0.3">
      <c r="A290" s="172" t="s">
        <v>364</v>
      </c>
      <c r="B290" s="110"/>
      <c r="C290" s="110"/>
      <c r="D290" s="110"/>
    </row>
    <row r="291" spans="1:4" ht="13.05" customHeight="1" x14ac:dyDescent="0.3">
      <c r="A291" s="173" t="s">
        <v>324</v>
      </c>
      <c r="B291" s="110"/>
      <c r="C291" s="110"/>
      <c r="D291" s="110"/>
    </row>
    <row r="292" spans="1:4" ht="13.05" customHeight="1" x14ac:dyDescent="0.3">
      <c r="A292" s="174" t="s">
        <v>368</v>
      </c>
      <c r="B292" s="110"/>
      <c r="C292" s="110"/>
      <c r="D292" s="110"/>
    </row>
    <row r="293" spans="1:4" ht="13.05" customHeight="1" x14ac:dyDescent="0.3">
      <c r="A293" s="173" t="s">
        <v>369</v>
      </c>
      <c r="B293" s="110"/>
      <c r="C293" s="110"/>
      <c r="D293" s="110"/>
    </row>
    <row r="294" spans="1:4" ht="13.05" customHeight="1" x14ac:dyDescent="0.3">
      <c r="A294" s="172" t="s">
        <v>370</v>
      </c>
      <c r="B294" s="110"/>
      <c r="C294" s="110"/>
      <c r="D294" s="110"/>
    </row>
    <row r="295" spans="1:4" ht="13.05" customHeight="1" x14ac:dyDescent="0.3">
      <c r="A295" s="172" t="s">
        <v>371</v>
      </c>
      <c r="B295" s="110"/>
      <c r="C295" s="110"/>
      <c r="D295" s="110"/>
    </row>
    <row r="296" spans="1:4" ht="13.05" customHeight="1" x14ac:dyDescent="0.3">
      <c r="A296" s="173" t="s">
        <v>324</v>
      </c>
      <c r="B296" s="110"/>
      <c r="C296" s="110"/>
      <c r="D296" s="110"/>
    </row>
    <row r="297" spans="1:4" ht="13.05" customHeight="1" x14ac:dyDescent="0.3">
      <c r="A297" s="173" t="s">
        <v>372</v>
      </c>
      <c r="B297" s="110"/>
      <c r="C297" s="110"/>
      <c r="D297" s="110"/>
    </row>
    <row r="298" spans="1:4" ht="13.05" customHeight="1" x14ac:dyDescent="0.3">
      <c r="A298" s="172" t="s">
        <v>373</v>
      </c>
      <c r="B298" s="110"/>
      <c r="C298" s="110"/>
      <c r="D298" s="110"/>
    </row>
    <row r="299" spans="1:4" ht="13.05" customHeight="1" x14ac:dyDescent="0.3">
      <c r="A299" s="172" t="s">
        <v>371</v>
      </c>
      <c r="B299" s="110"/>
      <c r="C299" s="110"/>
      <c r="D299" s="110"/>
    </row>
    <row r="300" spans="1:4" ht="13.05" customHeight="1" x14ac:dyDescent="0.3">
      <c r="A300" s="173" t="s">
        <v>324</v>
      </c>
      <c r="B300" s="110"/>
      <c r="C300" s="110"/>
      <c r="D300" s="110"/>
    </row>
    <row r="301" spans="1:4" ht="13.05" customHeight="1" x14ac:dyDescent="0.3">
      <c r="A301" s="173" t="s">
        <v>374</v>
      </c>
      <c r="B301" s="110"/>
      <c r="C301" s="110"/>
      <c r="D301" s="110"/>
    </row>
    <row r="302" spans="1:4" ht="13.05" customHeight="1" x14ac:dyDescent="0.3">
      <c r="A302" s="172" t="s">
        <v>375</v>
      </c>
      <c r="B302" s="110"/>
      <c r="C302" s="110"/>
      <c r="D302" s="110"/>
    </row>
    <row r="303" spans="1:4" ht="13.05" customHeight="1" x14ac:dyDescent="0.3">
      <c r="A303" s="172" t="s">
        <v>376</v>
      </c>
      <c r="B303" s="110"/>
      <c r="C303" s="110"/>
      <c r="D303" s="110"/>
    </row>
    <row r="304" spans="1:4" ht="13.05" customHeight="1" x14ac:dyDescent="0.3">
      <c r="A304" s="173" t="s">
        <v>324</v>
      </c>
      <c r="B304" s="110"/>
      <c r="C304" s="110"/>
      <c r="D304" s="110"/>
    </row>
    <row r="305" spans="1:4" ht="13.05" customHeight="1" x14ac:dyDescent="0.3">
      <c r="A305" s="173" t="s">
        <v>377</v>
      </c>
      <c r="B305" s="110"/>
      <c r="C305" s="110"/>
      <c r="D305" s="110"/>
    </row>
    <row r="306" spans="1:4" ht="13.05" customHeight="1" x14ac:dyDescent="0.3">
      <c r="A306" s="172" t="s">
        <v>378</v>
      </c>
      <c r="B306" s="110"/>
      <c r="C306" s="110"/>
      <c r="D306" s="110"/>
    </row>
    <row r="307" spans="1:4" ht="13.05" customHeight="1" x14ac:dyDescent="0.3">
      <c r="A307" s="172" t="s">
        <v>336</v>
      </c>
      <c r="B307" s="110"/>
      <c r="C307" s="110"/>
      <c r="D307" s="110"/>
    </row>
    <row r="308" spans="1:4" ht="13.05" customHeight="1" x14ac:dyDescent="0.3">
      <c r="A308" s="172" t="s">
        <v>379</v>
      </c>
      <c r="B308" s="110"/>
      <c r="C308" s="110"/>
      <c r="D308" s="110"/>
    </row>
    <row r="309" spans="1:4" ht="13.05" customHeight="1" x14ac:dyDescent="0.3">
      <c r="A309" s="173" t="s">
        <v>324</v>
      </c>
      <c r="B309" s="110"/>
      <c r="C309" s="110"/>
      <c r="D309" s="110"/>
    </row>
    <row r="310" spans="1:4" ht="13.05" customHeight="1" x14ac:dyDescent="0.3">
      <c r="A310" s="174" t="s">
        <v>380</v>
      </c>
      <c r="B310" s="110"/>
      <c r="C310" s="110"/>
      <c r="D310" s="110"/>
    </row>
    <row r="311" spans="1:4" ht="13.05" customHeight="1" x14ac:dyDescent="0.3">
      <c r="A311" s="173" t="s">
        <v>381</v>
      </c>
      <c r="B311" s="110"/>
      <c r="C311" s="110"/>
      <c r="D311" s="110"/>
    </row>
    <row r="312" spans="1:4" ht="13.05" customHeight="1" x14ac:dyDescent="0.3">
      <c r="A312" s="172" t="s">
        <v>382</v>
      </c>
      <c r="B312" s="110"/>
      <c r="C312" s="110"/>
      <c r="D312" s="110"/>
    </row>
    <row r="313" spans="1:4" ht="13.05" customHeight="1" x14ac:dyDescent="0.3">
      <c r="A313" s="172" t="s">
        <v>383</v>
      </c>
      <c r="B313" s="110"/>
      <c r="C313" s="110"/>
      <c r="D313" s="110"/>
    </row>
    <row r="314" spans="1:4" ht="13.05" customHeight="1" x14ac:dyDescent="0.3">
      <c r="A314" s="173" t="s">
        <v>324</v>
      </c>
      <c r="B314" s="110"/>
      <c r="C314" s="110"/>
      <c r="D314" s="110"/>
    </row>
    <row r="315" spans="1:4" ht="13.05" customHeight="1" x14ac:dyDescent="0.3">
      <c r="A315" s="173" t="s">
        <v>384</v>
      </c>
      <c r="B315" s="110"/>
      <c r="C315" s="110"/>
      <c r="D315" s="110"/>
    </row>
    <row r="316" spans="1:4" ht="13.05" customHeight="1" x14ac:dyDescent="0.3">
      <c r="A316" s="172" t="s">
        <v>385</v>
      </c>
      <c r="B316" s="110"/>
      <c r="C316" s="110"/>
      <c r="D316" s="110"/>
    </row>
    <row r="317" spans="1:4" ht="13.05" customHeight="1" x14ac:dyDescent="0.3">
      <c r="A317" s="172" t="s">
        <v>383</v>
      </c>
      <c r="B317" s="110"/>
      <c r="C317" s="110"/>
      <c r="D317" s="110"/>
    </row>
    <row r="318" spans="1:4" ht="13.05" customHeight="1" x14ac:dyDescent="0.3">
      <c r="A318" s="173" t="s">
        <v>324</v>
      </c>
      <c r="B318" s="110"/>
      <c r="C318" s="110"/>
      <c r="D318" s="110"/>
    </row>
    <row r="319" spans="1:4" ht="13.05" customHeight="1" x14ac:dyDescent="0.3">
      <c r="A319" s="173" t="s">
        <v>386</v>
      </c>
      <c r="B319" s="110"/>
      <c r="C319" s="110"/>
      <c r="D319" s="110"/>
    </row>
    <row r="320" spans="1:4" ht="13.05" customHeight="1" x14ac:dyDescent="0.3">
      <c r="A320" s="172" t="s">
        <v>387</v>
      </c>
      <c r="B320" s="110"/>
      <c r="C320" s="110"/>
      <c r="D320" s="110"/>
    </row>
    <row r="321" spans="1:4" ht="13.05" customHeight="1" x14ac:dyDescent="0.3">
      <c r="A321" s="172" t="s">
        <v>388</v>
      </c>
      <c r="B321" s="110"/>
      <c r="C321" s="110"/>
      <c r="D321" s="110"/>
    </row>
    <row r="322" spans="1:4" ht="13.05" customHeight="1" x14ac:dyDescent="0.3">
      <c r="A322" s="173" t="s">
        <v>324</v>
      </c>
      <c r="B322" s="110"/>
      <c r="C322" s="110"/>
      <c r="D322" s="110"/>
    </row>
    <row r="323" spans="1:4" ht="13.05" customHeight="1" x14ac:dyDescent="0.3">
      <c r="A323" s="173" t="s">
        <v>389</v>
      </c>
      <c r="B323" s="110"/>
      <c r="C323" s="110"/>
      <c r="D323" s="110"/>
    </row>
    <row r="324" spans="1:4" ht="13.05" customHeight="1" x14ac:dyDescent="0.3">
      <c r="A324" s="172" t="s">
        <v>390</v>
      </c>
      <c r="B324" s="110"/>
      <c r="C324" s="110"/>
      <c r="D324" s="110"/>
    </row>
    <row r="325" spans="1:4" ht="13.05" customHeight="1" x14ac:dyDescent="0.3">
      <c r="A325" s="172" t="s">
        <v>341</v>
      </c>
      <c r="B325" s="110"/>
      <c r="C325" s="110"/>
      <c r="D325" s="110"/>
    </row>
    <row r="326" spans="1:4" ht="13.05" customHeight="1" x14ac:dyDescent="0.3">
      <c r="A326" s="172" t="s">
        <v>391</v>
      </c>
      <c r="B326" s="110"/>
      <c r="C326" s="110"/>
      <c r="D326" s="110"/>
    </row>
    <row r="327" spans="1:4" ht="13.05" customHeight="1" x14ac:dyDescent="0.3">
      <c r="A327" s="173" t="s">
        <v>324</v>
      </c>
      <c r="B327" s="110"/>
      <c r="C327" s="110"/>
      <c r="D327" s="110"/>
    </row>
    <row r="328" spans="1:4" ht="13.05" customHeight="1" x14ac:dyDescent="0.3">
      <c r="A328" s="174" t="s">
        <v>392</v>
      </c>
      <c r="B328" s="110"/>
      <c r="C328" s="110"/>
      <c r="D328" s="110"/>
    </row>
    <row r="329" spans="1:4" ht="13.05" customHeight="1" x14ac:dyDescent="0.3">
      <c r="A329" s="173" t="s">
        <v>393</v>
      </c>
      <c r="B329" s="110"/>
      <c r="C329" s="110"/>
      <c r="D329" s="110"/>
    </row>
    <row r="330" spans="1:4" ht="13.05" customHeight="1" x14ac:dyDescent="0.3">
      <c r="A330" s="172" t="s">
        <v>394</v>
      </c>
      <c r="B330" s="110"/>
      <c r="C330" s="110"/>
      <c r="D330" s="110"/>
    </row>
    <row r="331" spans="1:4" ht="13.05" customHeight="1" x14ac:dyDescent="0.3">
      <c r="A331" s="172" t="s">
        <v>395</v>
      </c>
      <c r="B331" s="110"/>
      <c r="C331" s="110"/>
      <c r="D331" s="110"/>
    </row>
    <row r="332" spans="1:4" ht="13.05" customHeight="1" x14ac:dyDescent="0.3">
      <c r="A332" s="173" t="s">
        <v>324</v>
      </c>
      <c r="B332" s="110"/>
      <c r="C332" s="110"/>
      <c r="D332" s="110"/>
    </row>
    <row r="333" spans="1:4" ht="13.05" customHeight="1" x14ac:dyDescent="0.3">
      <c r="A333" s="173" t="s">
        <v>396</v>
      </c>
      <c r="B333" s="110"/>
      <c r="C333" s="110"/>
      <c r="D333" s="110"/>
    </row>
    <row r="334" spans="1:4" ht="13.05" customHeight="1" x14ac:dyDescent="0.3">
      <c r="A334" s="172" t="s">
        <v>397</v>
      </c>
      <c r="B334" s="110"/>
      <c r="C334" s="110"/>
      <c r="D334" s="110"/>
    </row>
    <row r="335" spans="1:4" ht="13.05" customHeight="1" x14ac:dyDescent="0.3">
      <c r="A335" s="172" t="s">
        <v>395</v>
      </c>
      <c r="B335" s="110"/>
      <c r="C335" s="110"/>
      <c r="D335" s="110"/>
    </row>
    <row r="336" spans="1:4" ht="13.05" customHeight="1" x14ac:dyDescent="0.3">
      <c r="A336" s="173" t="s">
        <v>324</v>
      </c>
      <c r="B336" s="110"/>
      <c r="C336" s="110"/>
      <c r="D336" s="110"/>
    </row>
    <row r="337" spans="1:4" ht="13.05" customHeight="1" x14ac:dyDescent="0.3">
      <c r="A337" s="173" t="s">
        <v>398</v>
      </c>
      <c r="B337" s="110"/>
      <c r="C337" s="110"/>
      <c r="D337" s="110"/>
    </row>
    <row r="338" spans="1:4" ht="13.05" customHeight="1" x14ac:dyDescent="0.3">
      <c r="A338" s="172" t="s">
        <v>399</v>
      </c>
      <c r="B338" s="110"/>
      <c r="C338" s="110"/>
      <c r="D338" s="110"/>
    </row>
    <row r="339" spans="1:4" ht="13.05" customHeight="1" x14ac:dyDescent="0.3">
      <c r="A339" s="172" t="s">
        <v>400</v>
      </c>
      <c r="B339" s="110"/>
      <c r="C339" s="110"/>
      <c r="D339" s="110"/>
    </row>
    <row r="340" spans="1:4" ht="13.05" customHeight="1" x14ac:dyDescent="0.3">
      <c r="A340" s="173" t="s">
        <v>324</v>
      </c>
      <c r="B340" s="110"/>
      <c r="C340" s="110"/>
      <c r="D340" s="110"/>
    </row>
    <row r="341" spans="1:4" ht="13.05" customHeight="1" x14ac:dyDescent="0.3">
      <c r="A341" s="173" t="s">
        <v>401</v>
      </c>
      <c r="B341" s="110"/>
      <c r="C341" s="110"/>
      <c r="D341" s="110"/>
    </row>
    <row r="342" spans="1:4" ht="13.05" customHeight="1" x14ac:dyDescent="0.3">
      <c r="A342" s="172" t="s">
        <v>402</v>
      </c>
      <c r="B342" s="110"/>
      <c r="C342" s="110"/>
      <c r="D342" s="110"/>
    </row>
    <row r="343" spans="1:4" ht="13.05" customHeight="1" x14ac:dyDescent="0.3">
      <c r="A343" s="172" t="s">
        <v>346</v>
      </c>
      <c r="B343" s="110"/>
      <c r="C343" s="110"/>
      <c r="D343" s="110"/>
    </row>
    <row r="344" spans="1:4" ht="13.05" customHeight="1" x14ac:dyDescent="0.3">
      <c r="A344" s="172" t="s">
        <v>403</v>
      </c>
      <c r="B344" s="110"/>
      <c r="C344" s="110"/>
      <c r="D344" s="110"/>
    </row>
    <row r="345" spans="1:4" ht="13.05" customHeight="1" x14ac:dyDescent="0.3">
      <c r="A345" s="173" t="s">
        <v>324</v>
      </c>
      <c r="B345" s="110"/>
      <c r="C345" s="110"/>
      <c r="D345" s="110"/>
    </row>
    <row r="346" spans="1:4" ht="13.05" customHeight="1" x14ac:dyDescent="0.3">
      <c r="A346" s="174" t="s">
        <v>404</v>
      </c>
      <c r="B346" s="110"/>
      <c r="C346" s="110"/>
      <c r="D346" s="110"/>
    </row>
    <row r="347" spans="1:4" ht="13.05" customHeight="1" x14ac:dyDescent="0.3">
      <c r="A347" s="173" t="s">
        <v>405</v>
      </c>
      <c r="B347" s="110"/>
      <c r="C347" s="110"/>
      <c r="D347" s="110"/>
    </row>
    <row r="348" spans="1:4" ht="13.05" customHeight="1" x14ac:dyDescent="0.3">
      <c r="A348" s="172" t="s">
        <v>406</v>
      </c>
      <c r="B348" s="110"/>
      <c r="C348" s="110"/>
      <c r="D348" s="110"/>
    </row>
    <row r="349" spans="1:4" ht="13.05" customHeight="1" x14ac:dyDescent="0.3">
      <c r="A349" s="172" t="s">
        <v>407</v>
      </c>
      <c r="B349" s="110"/>
      <c r="C349" s="110"/>
      <c r="D349" s="110"/>
    </row>
    <row r="350" spans="1:4" ht="13.05" customHeight="1" x14ac:dyDescent="0.3">
      <c r="A350" s="173" t="s">
        <v>324</v>
      </c>
      <c r="B350" s="110"/>
      <c r="C350" s="110"/>
      <c r="D350" s="110"/>
    </row>
    <row r="351" spans="1:4" ht="13.05" customHeight="1" x14ac:dyDescent="0.3">
      <c r="A351" s="174" t="s">
        <v>408</v>
      </c>
      <c r="B351" s="110"/>
      <c r="C351" s="110"/>
      <c r="D351" s="110"/>
    </row>
    <row r="352" spans="1:4" ht="13.05" customHeight="1" x14ac:dyDescent="0.3">
      <c r="A352" s="173" t="s">
        <v>409</v>
      </c>
      <c r="B352" s="110"/>
      <c r="C352" s="110"/>
      <c r="D352" s="110"/>
    </row>
    <row r="353" spans="1:4" ht="13.05" customHeight="1" x14ac:dyDescent="0.3">
      <c r="A353" s="172" t="s">
        <v>410</v>
      </c>
      <c r="B353" s="110"/>
      <c r="C353" s="110"/>
      <c r="D353" s="110"/>
    </row>
    <row r="354" spans="1:4" ht="13.05" customHeight="1" x14ac:dyDescent="0.3">
      <c r="A354" s="172" t="s">
        <v>411</v>
      </c>
      <c r="B354" s="110"/>
      <c r="C354" s="110"/>
      <c r="D354" s="110"/>
    </row>
    <row r="355" spans="1:4" ht="13.05" customHeight="1" x14ac:dyDescent="0.3">
      <c r="A355" s="173" t="s">
        <v>324</v>
      </c>
      <c r="B355" s="110"/>
      <c r="C355" s="110"/>
      <c r="D355" s="110"/>
    </row>
    <row r="356" spans="1:4" ht="13.05" customHeight="1" x14ac:dyDescent="0.3">
      <c r="A356" s="172" t="s">
        <v>356</v>
      </c>
      <c r="B356" s="110"/>
      <c r="C356" s="110"/>
      <c r="D356" s="110"/>
    </row>
    <row r="357" spans="1:4" ht="13.05" customHeight="1" x14ac:dyDescent="0.3">
      <c r="A357" s="172" t="s">
        <v>412</v>
      </c>
      <c r="B357" s="110"/>
      <c r="C357" s="110"/>
      <c r="D357" s="110"/>
    </row>
    <row r="358" spans="1:4" ht="13.05" customHeight="1" x14ac:dyDescent="0.3">
      <c r="A358" s="173" t="s">
        <v>168</v>
      </c>
      <c r="B358" s="110"/>
      <c r="C358" s="110"/>
      <c r="D358" s="110"/>
    </row>
    <row r="359" spans="1:4" ht="13.05" customHeight="1" x14ac:dyDescent="0.3">
      <c r="A359" s="172"/>
      <c r="B359" s="110"/>
      <c r="C359" s="110"/>
      <c r="D359" s="110"/>
    </row>
    <row r="360" spans="1:4" ht="13.05" customHeight="1" x14ac:dyDescent="0.3">
      <c r="A360" s="172" t="s">
        <v>413</v>
      </c>
      <c r="B360" s="110"/>
      <c r="C360" s="110"/>
      <c r="D360" s="110"/>
    </row>
    <row r="361" spans="1:4" ht="13.05" customHeight="1" x14ac:dyDescent="0.3">
      <c r="A361" s="172" t="s">
        <v>414</v>
      </c>
      <c r="B361" s="110"/>
      <c r="C361" s="110"/>
      <c r="D361" s="110"/>
    </row>
    <row r="362" spans="1:4" ht="13.05" customHeight="1" x14ac:dyDescent="0.3">
      <c r="A362" s="173" t="s">
        <v>415</v>
      </c>
      <c r="B362" s="110"/>
      <c r="C362" s="110"/>
      <c r="D362" s="110"/>
    </row>
    <row r="363" spans="1:4" ht="13.05" customHeight="1" x14ac:dyDescent="0.3">
      <c r="A363" s="172"/>
      <c r="B363" s="110"/>
      <c r="C363" s="110"/>
      <c r="D363" s="110"/>
    </row>
    <row r="364" spans="1:4" ht="13.05" customHeight="1" x14ac:dyDescent="0.3">
      <c r="A364" s="174" t="s">
        <v>416</v>
      </c>
      <c r="B364" s="110"/>
      <c r="C364" s="110"/>
      <c r="D364" s="110"/>
    </row>
    <row r="365" spans="1:4" ht="13.05" customHeight="1" x14ac:dyDescent="0.3">
      <c r="A365" s="172" t="s">
        <v>417</v>
      </c>
      <c r="B365" s="110"/>
      <c r="C365" s="110"/>
      <c r="D365" s="110"/>
    </row>
    <row r="366" spans="1:4" ht="13.05" customHeight="1" x14ac:dyDescent="0.3">
      <c r="A366" s="172" t="s">
        <v>418</v>
      </c>
      <c r="B366" s="110"/>
      <c r="C366" s="110"/>
      <c r="D366" s="110"/>
    </row>
    <row r="367" spans="1:4" ht="13.05" customHeight="1" x14ac:dyDescent="0.3">
      <c r="A367" s="173" t="s">
        <v>419</v>
      </c>
      <c r="B367" s="110"/>
      <c r="C367" s="110"/>
      <c r="D367" s="110"/>
    </row>
    <row r="368" spans="1:4" ht="13.05" customHeight="1" x14ac:dyDescent="0.3">
      <c r="A368" s="172" t="s">
        <v>420</v>
      </c>
      <c r="B368" s="110"/>
      <c r="C368" s="110"/>
      <c r="D368" s="110"/>
    </row>
    <row r="369" spans="1:4" ht="13.05" customHeight="1" x14ac:dyDescent="0.3">
      <c r="A369" s="172" t="s">
        <v>421</v>
      </c>
      <c r="B369" s="110"/>
      <c r="C369" s="110"/>
      <c r="D369" s="110"/>
    </row>
    <row r="370" spans="1:4" ht="13.05" customHeight="1" x14ac:dyDescent="0.3">
      <c r="A370" s="172" t="s">
        <v>248</v>
      </c>
      <c r="B370" s="110"/>
      <c r="C370" s="110"/>
      <c r="D370" s="110"/>
    </row>
    <row r="371" spans="1:4" ht="13.05" customHeight="1" x14ac:dyDescent="0.3">
      <c r="A371" s="173" t="s">
        <v>224</v>
      </c>
      <c r="B371" s="110"/>
      <c r="C371" s="110"/>
      <c r="D371" s="110"/>
    </row>
    <row r="372" spans="1:4" ht="13.05" customHeight="1" x14ac:dyDescent="0.3">
      <c r="A372" s="173" t="s">
        <v>422</v>
      </c>
      <c r="B372" s="110"/>
      <c r="C372" s="110"/>
      <c r="D372" s="110"/>
    </row>
    <row r="373" spans="1:4" ht="13.05" customHeight="1" x14ac:dyDescent="0.3">
      <c r="A373" s="172" t="s">
        <v>423</v>
      </c>
      <c r="B373" s="110"/>
      <c r="C373" s="110"/>
      <c r="D373" s="110"/>
    </row>
    <row r="374" spans="1:4" ht="13.05" customHeight="1" x14ac:dyDescent="0.3">
      <c r="A374" s="172" t="s">
        <v>424</v>
      </c>
      <c r="B374" s="110"/>
      <c r="C374" s="110"/>
      <c r="D374" s="110"/>
    </row>
    <row r="375" spans="1:4" ht="13.05" customHeight="1" x14ac:dyDescent="0.3">
      <c r="A375" s="172" t="s">
        <v>421</v>
      </c>
      <c r="B375" s="110"/>
      <c r="C375" s="110"/>
      <c r="D375" s="110"/>
    </row>
    <row r="376" spans="1:4" ht="13.05" customHeight="1" x14ac:dyDescent="0.3">
      <c r="A376" s="172" t="s">
        <v>425</v>
      </c>
      <c r="B376" s="110"/>
      <c r="C376" s="110"/>
      <c r="D376" s="110"/>
    </row>
    <row r="377" spans="1:4" ht="13.05" customHeight="1" x14ac:dyDescent="0.3">
      <c r="A377" s="173" t="s">
        <v>224</v>
      </c>
      <c r="B377" s="110"/>
      <c r="C377" s="110"/>
      <c r="D377" s="110"/>
    </row>
    <row r="378" spans="1:4" ht="13.05" customHeight="1" x14ac:dyDescent="0.3">
      <c r="A378" s="172" t="s">
        <v>426</v>
      </c>
      <c r="B378" s="110"/>
      <c r="C378" s="110"/>
      <c r="D378" s="110"/>
    </row>
    <row r="379" spans="1:4" ht="13.05" customHeight="1" x14ac:dyDescent="0.3">
      <c r="A379" s="173" t="s">
        <v>427</v>
      </c>
      <c r="B379" s="110"/>
      <c r="C379" s="110"/>
      <c r="D379" s="110"/>
    </row>
    <row r="380" spans="1:4" ht="13.05" customHeight="1" x14ac:dyDescent="0.3">
      <c r="A380" s="172" t="s">
        <v>428</v>
      </c>
      <c r="B380" s="110"/>
      <c r="C380" s="110"/>
      <c r="D380" s="110"/>
    </row>
    <row r="381" spans="1:4" ht="13.05" customHeight="1" x14ac:dyDescent="0.3">
      <c r="A381" s="172" t="s">
        <v>424</v>
      </c>
      <c r="B381" s="110"/>
      <c r="C381" s="110"/>
      <c r="D381" s="110"/>
    </row>
    <row r="382" spans="1:4" ht="13.05" customHeight="1" x14ac:dyDescent="0.3">
      <c r="A382" s="172" t="s">
        <v>421</v>
      </c>
      <c r="B382" s="110"/>
      <c r="C382" s="110"/>
      <c r="D382" s="110"/>
    </row>
    <row r="383" spans="1:4" ht="13.05" customHeight="1" x14ac:dyDescent="0.3">
      <c r="A383" s="172" t="s">
        <v>425</v>
      </c>
      <c r="B383" s="110"/>
      <c r="C383" s="110"/>
      <c r="D383" s="110"/>
    </row>
    <row r="384" spans="1:4" ht="13.05" customHeight="1" x14ac:dyDescent="0.3">
      <c r="A384" s="173" t="s">
        <v>224</v>
      </c>
      <c r="B384" s="110"/>
      <c r="C384" s="110"/>
      <c r="D384" s="110"/>
    </row>
    <row r="385" spans="1:4" ht="13.05" customHeight="1" x14ac:dyDescent="0.3">
      <c r="A385" s="172" t="s">
        <v>429</v>
      </c>
      <c r="B385" s="110"/>
      <c r="C385" s="110"/>
      <c r="D385" s="110"/>
    </row>
    <row r="386" spans="1:4" ht="13.05" customHeight="1" x14ac:dyDescent="0.3">
      <c r="A386" s="173" t="s">
        <v>430</v>
      </c>
      <c r="B386" s="110"/>
      <c r="C386" s="110"/>
      <c r="D386" s="110"/>
    </row>
    <row r="387" spans="1:4" ht="13.05" customHeight="1" x14ac:dyDescent="0.3">
      <c r="A387" s="172" t="s">
        <v>431</v>
      </c>
      <c r="B387" s="110"/>
      <c r="C387" s="110"/>
      <c r="D387" s="110"/>
    </row>
    <row r="388" spans="1:4" ht="13.05" customHeight="1" x14ac:dyDescent="0.3">
      <c r="A388" s="172" t="s">
        <v>424</v>
      </c>
      <c r="B388" s="110"/>
      <c r="C388" s="110"/>
      <c r="D388" s="110"/>
    </row>
    <row r="389" spans="1:4" ht="13.05" customHeight="1" x14ac:dyDescent="0.3">
      <c r="A389" s="172" t="s">
        <v>421</v>
      </c>
      <c r="B389" s="110"/>
      <c r="C389" s="110"/>
      <c r="D389" s="110"/>
    </row>
    <row r="390" spans="1:4" ht="13.05" customHeight="1" x14ac:dyDescent="0.3">
      <c r="A390" s="172" t="s">
        <v>425</v>
      </c>
      <c r="B390" s="110"/>
      <c r="C390" s="110"/>
      <c r="D390" s="110"/>
    </row>
    <row r="391" spans="1:4" ht="13.05" customHeight="1" x14ac:dyDescent="0.3">
      <c r="A391" s="173" t="s">
        <v>224</v>
      </c>
      <c r="B391" s="110"/>
      <c r="C391" s="110"/>
      <c r="D391" s="110"/>
    </row>
    <row r="392" spans="1:4" ht="13.05" customHeight="1" x14ac:dyDescent="0.3">
      <c r="A392" s="173" t="s">
        <v>432</v>
      </c>
      <c r="B392" s="110"/>
      <c r="C392" s="110"/>
      <c r="D392" s="110"/>
    </row>
    <row r="393" spans="1:4" ht="13.05" customHeight="1" x14ac:dyDescent="0.3">
      <c r="A393" s="172" t="s">
        <v>433</v>
      </c>
      <c r="B393" s="110"/>
      <c r="C393" s="110"/>
      <c r="D393" s="110"/>
    </row>
    <row r="394" spans="1:4" ht="13.05" customHeight="1" x14ac:dyDescent="0.3">
      <c r="A394" s="172" t="s">
        <v>424</v>
      </c>
      <c r="B394" s="110"/>
      <c r="C394" s="110"/>
      <c r="D394" s="110"/>
    </row>
    <row r="395" spans="1:4" ht="13.05" customHeight="1" x14ac:dyDescent="0.3">
      <c r="A395" s="172" t="s">
        <v>421</v>
      </c>
      <c r="B395" s="110"/>
      <c r="C395" s="110"/>
      <c r="D395" s="110"/>
    </row>
    <row r="396" spans="1:4" ht="13.05" customHeight="1" x14ac:dyDescent="0.3">
      <c r="A396" s="172" t="s">
        <v>425</v>
      </c>
      <c r="B396" s="110"/>
      <c r="C396" s="110"/>
      <c r="D396" s="110"/>
    </row>
    <row r="397" spans="1:4" ht="13.05" customHeight="1" x14ac:dyDescent="0.3">
      <c r="A397" s="173" t="s">
        <v>224</v>
      </c>
      <c r="B397" s="110"/>
      <c r="C397" s="110"/>
      <c r="D397" s="110"/>
    </row>
    <row r="398" spans="1:4" ht="13.05" customHeight="1" x14ac:dyDescent="0.3">
      <c r="A398" s="173" t="s">
        <v>434</v>
      </c>
      <c r="B398" s="110"/>
      <c r="C398" s="110"/>
      <c r="D398" s="110"/>
    </row>
    <row r="399" spans="1:4" ht="13.05" customHeight="1" x14ac:dyDescent="0.3">
      <c r="A399" s="172" t="s">
        <v>435</v>
      </c>
      <c r="B399" s="110"/>
      <c r="C399" s="110"/>
      <c r="D399" s="110"/>
    </row>
    <row r="400" spans="1:4" ht="13.05" customHeight="1" x14ac:dyDescent="0.3">
      <c r="A400" s="172" t="s">
        <v>424</v>
      </c>
      <c r="B400" s="110"/>
      <c r="C400" s="110"/>
      <c r="D400" s="110"/>
    </row>
    <row r="401" spans="1:4" ht="13.05" customHeight="1" x14ac:dyDescent="0.3">
      <c r="A401" s="172" t="s">
        <v>421</v>
      </c>
      <c r="B401" s="110"/>
      <c r="C401" s="110"/>
      <c r="D401" s="110"/>
    </row>
    <row r="402" spans="1:4" ht="13.05" customHeight="1" x14ac:dyDescent="0.3">
      <c r="A402" s="172" t="s">
        <v>425</v>
      </c>
      <c r="B402" s="110"/>
      <c r="C402" s="110"/>
      <c r="D402" s="110"/>
    </row>
    <row r="403" spans="1:4" ht="13.05" customHeight="1" x14ac:dyDescent="0.3">
      <c r="A403" s="173" t="s">
        <v>224</v>
      </c>
      <c r="B403" s="110"/>
      <c r="C403" s="110"/>
      <c r="D403" s="110"/>
    </row>
    <row r="404" spans="1:4" ht="13.05" customHeight="1" x14ac:dyDescent="0.3">
      <c r="A404" s="172" t="s">
        <v>436</v>
      </c>
      <c r="B404" s="110"/>
      <c r="C404" s="110"/>
      <c r="D404" s="110"/>
    </row>
    <row r="405" spans="1:4" ht="13.05" customHeight="1" x14ac:dyDescent="0.3">
      <c r="A405" s="172" t="s">
        <v>437</v>
      </c>
      <c r="B405" s="110"/>
      <c r="C405" s="110"/>
      <c r="D405" s="110"/>
    </row>
    <row r="406" spans="1:4" ht="13.05" customHeight="1" x14ac:dyDescent="0.3">
      <c r="A406" s="172" t="s">
        <v>438</v>
      </c>
      <c r="B406" s="110"/>
      <c r="C406" s="110"/>
      <c r="D406" s="110"/>
    </row>
    <row r="407" spans="1:4" ht="13.05" customHeight="1" x14ac:dyDescent="0.3">
      <c r="A407" s="172"/>
      <c r="B407" s="110"/>
      <c r="C407" s="110"/>
      <c r="D407" s="110"/>
    </row>
    <row r="408" spans="1:4" ht="13.05" customHeight="1" x14ac:dyDescent="0.3">
      <c r="A408" s="174" t="s">
        <v>439</v>
      </c>
      <c r="B408" s="110"/>
      <c r="C408" s="110"/>
      <c r="D408" s="110"/>
    </row>
    <row r="409" spans="1:4" ht="13.05" customHeight="1" x14ac:dyDescent="0.3">
      <c r="A409" s="172" t="s">
        <v>440</v>
      </c>
      <c r="B409" s="110"/>
      <c r="C409" s="110"/>
      <c r="D409" s="110"/>
    </row>
    <row r="410" spans="1:4" ht="13.05" customHeight="1" x14ac:dyDescent="0.3">
      <c r="A410" s="172" t="s">
        <v>441</v>
      </c>
      <c r="B410" s="110"/>
      <c r="C410" s="110"/>
      <c r="D410" s="110"/>
    </row>
    <row r="411" spans="1:4" ht="13.05" customHeight="1" x14ac:dyDescent="0.3">
      <c r="A411" s="172"/>
      <c r="B411" s="110"/>
      <c r="C411" s="110"/>
      <c r="D411" s="110"/>
    </row>
    <row r="412" spans="1:4" ht="13.05" customHeight="1" x14ac:dyDescent="0.3">
      <c r="A412" s="174" t="s">
        <v>442</v>
      </c>
      <c r="B412" s="110"/>
      <c r="C412" s="110"/>
      <c r="D412" s="110"/>
    </row>
    <row r="413" spans="1:4" ht="13.05" customHeight="1" x14ac:dyDescent="0.3">
      <c r="A413" s="172" t="s">
        <v>443</v>
      </c>
      <c r="B413" s="110"/>
      <c r="C413" s="110"/>
      <c r="D413" s="110"/>
    </row>
    <row r="414" spans="1:4" ht="13.05" customHeight="1" x14ac:dyDescent="0.3">
      <c r="A414" s="172" t="s">
        <v>444</v>
      </c>
      <c r="B414" s="110"/>
      <c r="C414" s="110"/>
      <c r="D414" s="110"/>
    </row>
    <row r="415" spans="1:4" ht="13.05" customHeight="1" x14ac:dyDescent="0.3">
      <c r="A415" s="173" t="s">
        <v>419</v>
      </c>
      <c r="B415" s="110"/>
      <c r="C415" s="110"/>
      <c r="D415" s="110"/>
    </row>
    <row r="416" spans="1:4" ht="13.05" customHeight="1" x14ac:dyDescent="0.3">
      <c r="A416" s="172" t="s">
        <v>445</v>
      </c>
      <c r="B416" s="110"/>
      <c r="C416" s="110"/>
      <c r="D416" s="110"/>
    </row>
    <row r="417" spans="1:4" ht="13.05" customHeight="1" x14ac:dyDescent="0.3">
      <c r="A417" s="172" t="s">
        <v>446</v>
      </c>
      <c r="B417" s="110"/>
      <c r="C417" s="110"/>
      <c r="D417" s="110"/>
    </row>
    <row r="418" spans="1:4" ht="13.05" customHeight="1" x14ac:dyDescent="0.3">
      <c r="A418" s="172" t="s">
        <v>221</v>
      </c>
      <c r="B418" s="110"/>
      <c r="C418" s="110"/>
      <c r="D418" s="110"/>
    </row>
    <row r="419" spans="1:4" ht="13.05" customHeight="1" x14ac:dyDescent="0.3">
      <c r="A419" s="173" t="s">
        <v>224</v>
      </c>
      <c r="B419" s="110"/>
      <c r="C419" s="110"/>
      <c r="D419" s="110"/>
    </row>
    <row r="420" spans="1:4" ht="13.05" customHeight="1" x14ac:dyDescent="0.3">
      <c r="A420" s="172"/>
      <c r="B420" s="110"/>
      <c r="C420" s="110"/>
      <c r="D420" s="110"/>
    </row>
    <row r="421" spans="1:4" ht="13.05" customHeight="1" x14ac:dyDescent="0.3">
      <c r="A421" s="174" t="s">
        <v>447</v>
      </c>
      <c r="B421" s="110"/>
      <c r="C421" s="110"/>
      <c r="D421" s="110"/>
    </row>
    <row r="422" spans="1:4" ht="13.05" customHeight="1" x14ac:dyDescent="0.3">
      <c r="A422" s="172" t="s">
        <v>448</v>
      </c>
      <c r="B422" s="110"/>
      <c r="C422" s="110"/>
      <c r="D422" s="110"/>
    </row>
    <row r="423" spans="1:4" ht="13.05" customHeight="1" x14ac:dyDescent="0.3">
      <c r="A423" s="172" t="s">
        <v>449</v>
      </c>
      <c r="B423" s="110"/>
      <c r="C423" s="110"/>
      <c r="D423" s="110"/>
    </row>
    <row r="424" spans="1:4" ht="13.05" customHeight="1" x14ac:dyDescent="0.3">
      <c r="A424" s="172" t="s">
        <v>450</v>
      </c>
      <c r="B424" s="110"/>
      <c r="C424" s="110"/>
      <c r="D424" s="110"/>
    </row>
    <row r="425" spans="1:4" ht="13.05" customHeight="1" x14ac:dyDescent="0.3">
      <c r="A425" s="172" t="s">
        <v>451</v>
      </c>
      <c r="B425" s="110"/>
      <c r="C425" s="110"/>
      <c r="D425" s="110"/>
    </row>
    <row r="426" spans="1:4" ht="13.05" customHeight="1" x14ac:dyDescent="0.3">
      <c r="A426" s="172"/>
      <c r="B426" s="110"/>
      <c r="C426" s="110"/>
      <c r="D426" s="110"/>
    </row>
    <row r="427" spans="1:4" ht="13.05" customHeight="1" x14ac:dyDescent="0.3">
      <c r="A427" s="174" t="s">
        <v>452</v>
      </c>
      <c r="B427" s="110"/>
      <c r="C427" s="110"/>
      <c r="D427" s="110"/>
    </row>
    <row r="428" spans="1:4" ht="13.05" customHeight="1" x14ac:dyDescent="0.3">
      <c r="A428" s="172" t="s">
        <v>453</v>
      </c>
      <c r="B428" s="110"/>
      <c r="C428" s="110"/>
      <c r="D428" s="110"/>
    </row>
    <row r="429" spans="1:4" ht="13.05" customHeight="1" x14ac:dyDescent="0.3">
      <c r="A429" s="172" t="s">
        <v>454</v>
      </c>
      <c r="B429" s="110"/>
      <c r="C429" s="110"/>
      <c r="D429" s="110"/>
    </row>
    <row r="430" spans="1:4" ht="13.05" customHeight="1" x14ac:dyDescent="0.3">
      <c r="A430" s="172" t="s">
        <v>455</v>
      </c>
      <c r="B430" s="110"/>
      <c r="C430" s="110"/>
      <c r="D430" s="110"/>
    </row>
    <row r="431" spans="1:4" ht="13.05" customHeight="1" x14ac:dyDescent="0.3">
      <c r="A431" s="172" t="s">
        <v>456</v>
      </c>
      <c r="B431" s="110"/>
      <c r="C431" s="110"/>
      <c r="D431" s="110"/>
    </row>
    <row r="432" spans="1:4" ht="13.05" customHeight="1" x14ac:dyDescent="0.3">
      <c r="A432" s="172" t="s">
        <v>457</v>
      </c>
      <c r="B432" s="110"/>
      <c r="C432" s="110"/>
      <c r="D432" s="110"/>
    </row>
    <row r="433" spans="1:4" ht="13.05" customHeight="1" x14ac:dyDescent="0.3">
      <c r="A433" s="172"/>
      <c r="B433" s="110"/>
      <c r="C433" s="110"/>
      <c r="D433" s="110"/>
    </row>
    <row r="434" spans="1:4" ht="13.05" customHeight="1" x14ac:dyDescent="0.3">
      <c r="A434" s="172" t="s">
        <v>458</v>
      </c>
      <c r="B434" s="110"/>
      <c r="C434" s="110"/>
      <c r="D434" s="110"/>
    </row>
    <row r="435" spans="1:4" ht="13.05" customHeight="1" x14ac:dyDescent="0.3">
      <c r="A435" s="172" t="s">
        <v>459</v>
      </c>
      <c r="B435" s="110"/>
      <c r="C435" s="110"/>
      <c r="D435" s="110"/>
    </row>
    <row r="436" spans="1:4" ht="13.05" customHeight="1" x14ac:dyDescent="0.3">
      <c r="A436" s="172" t="s">
        <v>460</v>
      </c>
      <c r="B436" s="110"/>
      <c r="C436" s="110"/>
      <c r="D436" s="110"/>
    </row>
    <row r="437" spans="1:4" ht="13.05" customHeight="1" x14ac:dyDescent="0.3">
      <c r="A437" s="173" t="s">
        <v>178</v>
      </c>
      <c r="B437" s="110"/>
      <c r="C437" s="110"/>
      <c r="D437" s="110"/>
    </row>
    <row r="438" spans="1:4" ht="13.05" customHeight="1" x14ac:dyDescent="0.3">
      <c r="A438" s="172"/>
      <c r="B438" s="110"/>
      <c r="C438" s="110"/>
      <c r="D438" s="110"/>
    </row>
    <row r="439" spans="1:4" ht="13.05" customHeight="1" x14ac:dyDescent="0.3">
      <c r="A439" s="174" t="s">
        <v>461</v>
      </c>
      <c r="B439" s="110"/>
      <c r="C439" s="110"/>
      <c r="D439" s="110"/>
    </row>
    <row r="440" spans="1:4" ht="13.05" customHeight="1" x14ac:dyDescent="0.3">
      <c r="A440" s="173" t="s">
        <v>462</v>
      </c>
      <c r="B440" s="110"/>
      <c r="C440" s="110"/>
      <c r="D440" s="110"/>
    </row>
    <row r="441" spans="1:4" ht="13.05" customHeight="1" x14ac:dyDescent="0.3">
      <c r="A441" s="172" t="s">
        <v>463</v>
      </c>
      <c r="B441" s="110"/>
      <c r="C441" s="110"/>
      <c r="D441" s="110"/>
    </row>
    <row r="442" spans="1:4" ht="13.05" customHeight="1" x14ac:dyDescent="0.3">
      <c r="A442" s="173" t="s">
        <v>464</v>
      </c>
      <c r="B442" s="110"/>
      <c r="C442" s="110"/>
      <c r="D442" s="110"/>
    </row>
    <row r="443" spans="1:4" ht="13.05" customHeight="1" x14ac:dyDescent="0.3">
      <c r="A443" s="173" t="s">
        <v>465</v>
      </c>
      <c r="B443" s="110"/>
      <c r="C443" s="110"/>
      <c r="D443" s="110"/>
    </row>
    <row r="444" spans="1:4" ht="13.05" customHeight="1" x14ac:dyDescent="0.3">
      <c r="A444" s="173" t="s">
        <v>466</v>
      </c>
      <c r="B444" s="110"/>
      <c r="C444" s="110"/>
      <c r="D444" s="110"/>
    </row>
    <row r="445" spans="1:4" ht="13.05" customHeight="1" x14ac:dyDescent="0.3">
      <c r="A445" s="173" t="s">
        <v>467</v>
      </c>
      <c r="B445" s="110"/>
      <c r="C445" s="110"/>
      <c r="D445" s="110"/>
    </row>
    <row r="446" spans="1:4" ht="13.05" customHeight="1" x14ac:dyDescent="0.3">
      <c r="A446" s="172" t="s">
        <v>468</v>
      </c>
      <c r="B446" s="110"/>
      <c r="C446" s="110"/>
      <c r="D446" s="110"/>
    </row>
    <row r="447" spans="1:4" ht="13.05" customHeight="1" x14ac:dyDescent="0.3">
      <c r="A447" s="172" t="s">
        <v>469</v>
      </c>
      <c r="B447" s="110"/>
      <c r="C447" s="110"/>
      <c r="D447" s="110"/>
    </row>
    <row r="448" spans="1:4" ht="13.05" customHeight="1" x14ac:dyDescent="0.3">
      <c r="A448" s="172" t="s">
        <v>470</v>
      </c>
      <c r="B448" s="110"/>
      <c r="C448" s="110"/>
      <c r="D448" s="110"/>
    </row>
    <row r="449" spans="1:4" ht="13.05" customHeight="1" x14ac:dyDescent="0.3">
      <c r="A449" s="172" t="s">
        <v>471</v>
      </c>
      <c r="B449" s="110"/>
      <c r="C449" s="110"/>
      <c r="D449" s="110"/>
    </row>
    <row r="450" spans="1:4" ht="13.05" customHeight="1" x14ac:dyDescent="0.3">
      <c r="A450" s="172" t="s">
        <v>472</v>
      </c>
      <c r="B450" s="110"/>
      <c r="C450" s="110"/>
      <c r="D450" s="110"/>
    </row>
    <row r="451" spans="1:4" ht="13.05" customHeight="1" x14ac:dyDescent="0.3">
      <c r="A451" s="172" t="s">
        <v>473</v>
      </c>
      <c r="B451" s="110"/>
      <c r="C451" s="110"/>
      <c r="D451" s="110"/>
    </row>
    <row r="452" spans="1:4" ht="13.05" customHeight="1" x14ac:dyDescent="0.3">
      <c r="A452" s="172" t="s">
        <v>474</v>
      </c>
      <c r="B452" s="110"/>
      <c r="C452" s="110"/>
      <c r="D452" s="110"/>
    </row>
    <row r="453" spans="1:4" ht="13.05" customHeight="1" x14ac:dyDescent="0.3">
      <c r="A453" s="173" t="s">
        <v>178</v>
      </c>
      <c r="B453" s="110"/>
      <c r="C453" s="110"/>
      <c r="D453" s="110"/>
    </row>
    <row r="454" spans="1:4" ht="13.05" customHeight="1" x14ac:dyDescent="0.3">
      <c r="A454" s="67"/>
    </row>
    <row r="455" spans="1:4" ht="13.05" customHeight="1" x14ac:dyDescent="0.3">
      <c r="A455" s="66"/>
    </row>
    <row r="456" spans="1:4" ht="13.05" customHeight="1" x14ac:dyDescent="0.3">
      <c r="A456" s="68"/>
    </row>
    <row r="457" spans="1:4" ht="13.05" customHeight="1" x14ac:dyDescent="0.3">
      <c r="A457" s="66"/>
    </row>
    <row r="458" spans="1:4" ht="13.05" customHeight="1" x14ac:dyDescent="0.3">
      <c r="A458" s="67"/>
    </row>
    <row r="459" spans="1:4" ht="13.05" customHeight="1" x14ac:dyDescent="0.3">
      <c r="A459" s="67"/>
    </row>
    <row r="460" spans="1:4" ht="13.05" customHeight="1" x14ac:dyDescent="0.3">
      <c r="A460" s="67"/>
    </row>
    <row r="461" spans="1:4" ht="13.05" customHeight="1" x14ac:dyDescent="0.3">
      <c r="A461" s="67"/>
    </row>
    <row r="462" spans="1:4" ht="13.05" customHeight="1" x14ac:dyDescent="0.3">
      <c r="A462" s="66"/>
    </row>
    <row r="463" spans="1:4" ht="13.05" customHeight="1" x14ac:dyDescent="0.3">
      <c r="A463" s="67"/>
    </row>
    <row r="464" spans="1:4" ht="13.05" customHeight="1" x14ac:dyDescent="0.3">
      <c r="A464" s="67"/>
    </row>
    <row r="465" spans="1:1" ht="13.05" customHeight="1" x14ac:dyDescent="0.3">
      <c r="A465" s="67"/>
    </row>
    <row r="466" spans="1:1" ht="13.05" customHeight="1" x14ac:dyDescent="0.3">
      <c r="A466" s="67"/>
    </row>
    <row r="467" spans="1:1" ht="13.05" customHeight="1" x14ac:dyDescent="0.3">
      <c r="A467" s="68"/>
    </row>
    <row r="468" spans="1:1" ht="13.05" customHeight="1" x14ac:dyDescent="0.3">
      <c r="A468" s="67"/>
    </row>
    <row r="469" spans="1:1" ht="13.05" customHeight="1" x14ac:dyDescent="0.3">
      <c r="A469" s="67"/>
    </row>
    <row r="470" spans="1:1" ht="13.05" customHeight="1" x14ac:dyDescent="0.3">
      <c r="A470" s="67"/>
    </row>
    <row r="471" spans="1:1" ht="13.05" customHeight="1" x14ac:dyDescent="0.3">
      <c r="A471" s="68"/>
    </row>
    <row r="472" spans="1:1" ht="13.05" customHeight="1" x14ac:dyDescent="0.3">
      <c r="A472" s="67"/>
    </row>
    <row r="473" spans="1:1" ht="13.05" customHeight="1" x14ac:dyDescent="0.3">
      <c r="A473" s="67"/>
    </row>
    <row r="474" spans="1:1" ht="13.05" customHeight="1" x14ac:dyDescent="0.3">
      <c r="A474" s="66"/>
    </row>
    <row r="475" spans="1:1" ht="13.05" customHeight="1" x14ac:dyDescent="0.3">
      <c r="A475" s="67"/>
    </row>
    <row r="476" spans="1:1" ht="13.05" customHeight="1" x14ac:dyDescent="0.3">
      <c r="A476" s="67"/>
    </row>
    <row r="477" spans="1:1" ht="13.05" customHeight="1" x14ac:dyDescent="0.3">
      <c r="A477" s="67"/>
    </row>
    <row r="478" spans="1:1" ht="13.05" customHeight="1" x14ac:dyDescent="0.3">
      <c r="A478" s="67"/>
    </row>
    <row r="479" spans="1:1" ht="13.05" customHeight="1" x14ac:dyDescent="0.3">
      <c r="A479" s="66"/>
    </row>
    <row r="480" spans="1:1" ht="13.05" customHeight="1" x14ac:dyDescent="0.3">
      <c r="A480" s="67"/>
    </row>
    <row r="481" spans="1:1" ht="13.05" customHeight="1" x14ac:dyDescent="0.3">
      <c r="A481" s="68"/>
    </row>
    <row r="482" spans="1:1" ht="13.05" customHeight="1" x14ac:dyDescent="0.3">
      <c r="A482" s="67"/>
    </row>
    <row r="483" spans="1:1" ht="13.05" customHeight="1" x14ac:dyDescent="0.3">
      <c r="A483" s="67"/>
    </row>
    <row r="484" spans="1:1" ht="13.05" customHeight="1" x14ac:dyDescent="0.3">
      <c r="A484" s="67"/>
    </row>
    <row r="485" spans="1:1" ht="13.05" customHeight="1" x14ac:dyDescent="0.3">
      <c r="A485" s="67"/>
    </row>
    <row r="486" spans="1:1" ht="13.05" customHeight="1" x14ac:dyDescent="0.3">
      <c r="A486" s="67"/>
    </row>
    <row r="487" spans="1:1" ht="13.05" customHeight="1" x14ac:dyDescent="0.3">
      <c r="A487" s="68"/>
    </row>
    <row r="488" spans="1:1" ht="13.05" customHeight="1" x14ac:dyDescent="0.3">
      <c r="A488" s="67"/>
    </row>
    <row r="489" spans="1:1" ht="13.05" customHeight="1" x14ac:dyDescent="0.3">
      <c r="A489" s="67"/>
    </row>
    <row r="490" spans="1:1" ht="13.05" customHeight="1" x14ac:dyDescent="0.3">
      <c r="A490" s="67"/>
    </row>
    <row r="491" spans="1:1" ht="13.05" customHeight="1" x14ac:dyDescent="0.3">
      <c r="A491" s="67"/>
    </row>
    <row r="492" spans="1:1" ht="13.05" customHeight="1" x14ac:dyDescent="0.3">
      <c r="A492" s="67"/>
    </row>
    <row r="493" spans="1:1" ht="13.05" customHeight="1" x14ac:dyDescent="0.3">
      <c r="A493" s="67"/>
    </row>
    <row r="494" spans="1:1" ht="13.05" customHeight="1" x14ac:dyDescent="0.3">
      <c r="A494" s="67"/>
    </row>
    <row r="495" spans="1:1" ht="13.05" customHeight="1" x14ac:dyDescent="0.3">
      <c r="A495" s="67"/>
    </row>
    <row r="496" spans="1:1" ht="13.05" customHeight="1" x14ac:dyDescent="0.3">
      <c r="A496" s="67"/>
    </row>
    <row r="497" spans="1:1" ht="13.05" customHeight="1" x14ac:dyDescent="0.3">
      <c r="A497" s="66"/>
    </row>
    <row r="498" spans="1:1" ht="13.05" customHeight="1" x14ac:dyDescent="0.3">
      <c r="A498" s="67"/>
    </row>
    <row r="499" spans="1:1" ht="13.05" customHeight="1" x14ac:dyDescent="0.3">
      <c r="A499" s="68"/>
    </row>
    <row r="500" spans="1:1" ht="13.05" customHeight="1" x14ac:dyDescent="0.3">
      <c r="A500" s="66"/>
    </row>
    <row r="501" spans="1:1" ht="13.05" customHeight="1" x14ac:dyDescent="0.3">
      <c r="A501" s="67"/>
    </row>
    <row r="502" spans="1:1" ht="13.05" customHeight="1" x14ac:dyDescent="0.3">
      <c r="A502" s="66"/>
    </row>
    <row r="503" spans="1:1" ht="13.05" customHeight="1" x14ac:dyDescent="0.3">
      <c r="A503" s="66"/>
    </row>
    <row r="504" spans="1:1" ht="13.05" customHeight="1" x14ac:dyDescent="0.3">
      <c r="A504" s="66"/>
    </row>
    <row r="505" spans="1:1" ht="13.05" customHeight="1" x14ac:dyDescent="0.3">
      <c r="A505" s="66"/>
    </row>
    <row r="506" spans="1:1" ht="13.05" customHeight="1" x14ac:dyDescent="0.3">
      <c r="A506" s="67"/>
    </row>
    <row r="507" spans="1:1" ht="13.05" customHeight="1" x14ac:dyDescent="0.3">
      <c r="A507" s="67"/>
    </row>
    <row r="508" spans="1:1" ht="13.05" customHeight="1" x14ac:dyDescent="0.3">
      <c r="A508" s="67"/>
    </row>
    <row r="509" spans="1:1" ht="13.05" customHeight="1" x14ac:dyDescent="0.3">
      <c r="A509" s="67"/>
    </row>
    <row r="510" spans="1:1" ht="13.05" customHeight="1" x14ac:dyDescent="0.3">
      <c r="A510" s="67"/>
    </row>
    <row r="511" spans="1:1" ht="13.05" customHeight="1" x14ac:dyDescent="0.3">
      <c r="A511" s="67"/>
    </row>
    <row r="512" spans="1:1" ht="13.05" customHeight="1" x14ac:dyDescent="0.3">
      <c r="A512" s="67"/>
    </row>
    <row r="513" spans="1:1" ht="13.05" customHeight="1" x14ac:dyDescent="0.3">
      <c r="A513" s="66"/>
    </row>
  </sheetData>
  <mergeCells count="451">
    <mergeCell ref="A423:D423"/>
    <mergeCell ref="A174:D174"/>
    <mergeCell ref="A410:D410"/>
    <mergeCell ref="A118:D118"/>
    <mergeCell ref="A189:D189"/>
    <mergeCell ref="A18:D18"/>
    <mergeCell ref="A238:D238"/>
    <mergeCell ref="A55:D55"/>
    <mergeCell ref="A47:D47"/>
    <mergeCell ref="A21:D21"/>
    <mergeCell ref="A57:D57"/>
    <mergeCell ref="A113:D113"/>
    <mergeCell ref="A32:D32"/>
    <mergeCell ref="A219:D219"/>
    <mergeCell ref="A23:D23"/>
    <mergeCell ref="A290:D290"/>
    <mergeCell ref="A96:D96"/>
    <mergeCell ref="A332:D332"/>
    <mergeCell ref="A123:D123"/>
    <mergeCell ref="A110:D110"/>
    <mergeCell ref="A237:D237"/>
    <mergeCell ref="A39:D39"/>
    <mergeCell ref="A452:D452"/>
    <mergeCell ref="A218:D218"/>
    <mergeCell ref="A316:D316"/>
    <mergeCell ref="A46:D46"/>
    <mergeCell ref="A453:D453"/>
    <mergeCell ref="A282:D282"/>
    <mergeCell ref="A105:D105"/>
    <mergeCell ref="A376:D376"/>
    <mergeCell ref="A26:D26"/>
    <mergeCell ref="A242:D242"/>
    <mergeCell ref="A71:D71"/>
    <mergeCell ref="A313:D313"/>
    <mergeCell ref="A307:D307"/>
    <mergeCell ref="A405:D405"/>
    <mergeCell ref="A184:D184"/>
    <mergeCell ref="A244:D244"/>
    <mergeCell ref="A100:D100"/>
    <mergeCell ref="A371:D371"/>
    <mergeCell ref="A342:D342"/>
    <mergeCell ref="A171:D171"/>
    <mergeCell ref="A231:D231"/>
    <mergeCell ref="A165:D165"/>
    <mergeCell ref="A336:D336"/>
    <mergeCell ref="A407:D407"/>
    <mergeCell ref="A450:D450"/>
    <mergeCell ref="A289:D289"/>
    <mergeCell ref="A226:D226"/>
    <mergeCell ref="A291:D291"/>
    <mergeCell ref="A241:D241"/>
    <mergeCell ref="A70:D70"/>
    <mergeCell ref="A399:D399"/>
    <mergeCell ref="A228:D228"/>
    <mergeCell ref="A355:D355"/>
    <mergeCell ref="A172:D172"/>
    <mergeCell ref="A305:D305"/>
    <mergeCell ref="A243:D243"/>
    <mergeCell ref="A221:D221"/>
    <mergeCell ref="A99:D99"/>
    <mergeCell ref="A292:D292"/>
    <mergeCell ref="A397:D397"/>
    <mergeCell ref="A286:D286"/>
    <mergeCell ref="A236:D236"/>
    <mergeCell ref="A163:D163"/>
    <mergeCell ref="A223:D223"/>
    <mergeCell ref="A101:D101"/>
    <mergeCell ref="A294:D294"/>
    <mergeCell ref="A361:D361"/>
    <mergeCell ref="A311:D311"/>
    <mergeCell ref="A434:D434"/>
    <mergeCell ref="A409:D409"/>
    <mergeCell ref="A86:D86"/>
    <mergeCell ref="A384:D384"/>
    <mergeCell ref="A213:D213"/>
    <mergeCell ref="A151:D151"/>
    <mergeCell ref="A449:D449"/>
    <mergeCell ref="A175:D175"/>
    <mergeCell ref="A321:D321"/>
    <mergeCell ref="A150:D150"/>
    <mergeCell ref="A144:D144"/>
    <mergeCell ref="A386:D386"/>
    <mergeCell ref="A215:D215"/>
    <mergeCell ref="A373:D373"/>
    <mergeCell ref="A323:D323"/>
    <mergeCell ref="A152:D152"/>
    <mergeCell ref="A125:D125"/>
    <mergeCell ref="A392:D392"/>
    <mergeCell ref="A127:D127"/>
    <mergeCell ref="A387:D387"/>
    <mergeCell ref="A216:D216"/>
    <mergeCell ref="A191:D191"/>
    <mergeCell ref="A115:D115"/>
    <mergeCell ref="A308:D308"/>
    <mergeCell ref="A441:D441"/>
    <mergeCell ref="A368:D368"/>
    <mergeCell ref="A49:D49"/>
    <mergeCell ref="A207:D207"/>
    <mergeCell ref="A36:D36"/>
    <mergeCell ref="A383:D383"/>
    <mergeCell ref="A1:D1"/>
    <mergeCell ref="A334:D334"/>
    <mergeCell ref="A370:D370"/>
    <mergeCell ref="A78:D78"/>
    <mergeCell ref="A271:D271"/>
    <mergeCell ref="A205:D205"/>
    <mergeCell ref="A65:D65"/>
    <mergeCell ref="A363:D363"/>
    <mergeCell ref="A80:D80"/>
    <mergeCell ref="A273:D273"/>
    <mergeCell ref="A378:D378"/>
    <mergeCell ref="A365:D365"/>
    <mergeCell ref="A298:D298"/>
    <mergeCell ref="A156:D156"/>
    <mergeCell ref="A220:D220"/>
    <mergeCell ref="A437:D437"/>
    <mergeCell ref="A431:D431"/>
    <mergeCell ref="A284:D284"/>
    <mergeCell ref="A426:D426"/>
    <mergeCell ref="A364:D364"/>
    <mergeCell ref="A90:D90"/>
    <mergeCell ref="A413:D413"/>
    <mergeCell ref="A388:D388"/>
    <mergeCell ref="A217:D217"/>
    <mergeCell ref="A136:D136"/>
    <mergeCell ref="A192:D192"/>
    <mergeCell ref="A428:D428"/>
    <mergeCell ref="A415:D415"/>
    <mergeCell ref="A129:D129"/>
    <mergeCell ref="A194:D194"/>
    <mergeCell ref="A181:D181"/>
    <mergeCell ref="A131:D131"/>
    <mergeCell ref="A295:D295"/>
    <mergeCell ref="A352:D352"/>
    <mergeCell ref="A143:D143"/>
    <mergeCell ref="A276:D276"/>
    <mergeCell ref="A270:D270"/>
    <mergeCell ref="A222:D222"/>
    <mergeCell ref="A197:D197"/>
    <mergeCell ref="A102:D102"/>
    <mergeCell ref="A344:D344"/>
    <mergeCell ref="A400:D400"/>
    <mergeCell ref="A438:D438"/>
    <mergeCell ref="A425:D425"/>
    <mergeCell ref="A204:D204"/>
    <mergeCell ref="A33:D33"/>
    <mergeCell ref="A440:D440"/>
    <mergeCell ref="A269:D269"/>
    <mergeCell ref="A141:D141"/>
    <mergeCell ref="A135:D135"/>
    <mergeCell ref="A439:D439"/>
    <mergeCell ref="A377:D377"/>
    <mergeCell ref="A35:D35"/>
    <mergeCell ref="A433:D433"/>
    <mergeCell ref="A262:D262"/>
    <mergeCell ref="A206:D206"/>
    <mergeCell ref="A62:D62"/>
    <mergeCell ref="A333:D333"/>
    <mergeCell ref="A199:D199"/>
    <mergeCell ref="A435:D435"/>
    <mergeCell ref="A362:D362"/>
    <mergeCell ref="A245:D245"/>
    <mergeCell ref="A59:D59"/>
    <mergeCell ref="A61:D61"/>
    <mergeCell ref="A88:D88"/>
    <mergeCell ref="A359:D359"/>
    <mergeCell ref="A15:D15"/>
    <mergeCell ref="A51:D51"/>
    <mergeCell ref="A107:D107"/>
    <mergeCell ref="A349:D349"/>
    <mergeCell ref="B6:D6"/>
    <mergeCell ref="A178:D178"/>
    <mergeCell ref="A315:D315"/>
    <mergeCell ref="B4:D4"/>
    <mergeCell ref="A252:D252"/>
    <mergeCell ref="A267:D267"/>
    <mergeCell ref="A28:D28"/>
    <mergeCell ref="A30:D30"/>
    <mergeCell ref="A153:D153"/>
    <mergeCell ref="A346:D346"/>
    <mergeCell ref="A128:D128"/>
    <mergeCell ref="A52:D52"/>
    <mergeCell ref="A83:D83"/>
    <mergeCell ref="A34:D34"/>
    <mergeCell ref="A84:D84"/>
    <mergeCell ref="A75:D75"/>
    <mergeCell ref="A81:D81"/>
    <mergeCell ref="A7:D7"/>
    <mergeCell ref="A8:D8"/>
    <mergeCell ref="A10:D10"/>
    <mergeCell ref="A430:D430"/>
    <mergeCell ref="A119:D119"/>
    <mergeCell ref="A417:D417"/>
    <mergeCell ref="A196:D196"/>
    <mergeCell ref="A25:D25"/>
    <mergeCell ref="A183:D183"/>
    <mergeCell ref="A419:D419"/>
    <mergeCell ref="B3:D3"/>
    <mergeCell ref="A394:D394"/>
    <mergeCell ref="A198:D198"/>
    <mergeCell ref="A254:D254"/>
    <mergeCell ref="A20:D20"/>
    <mergeCell ref="A318:D318"/>
    <mergeCell ref="A112:D112"/>
    <mergeCell ref="A348:D348"/>
    <mergeCell ref="A13:D13"/>
    <mergeCell ref="A372:D372"/>
    <mergeCell ref="A249:D249"/>
    <mergeCell ref="A320:D320"/>
    <mergeCell ref="A347:D347"/>
    <mergeCell ref="A314:D314"/>
    <mergeCell ref="A176:D176"/>
    <mergeCell ref="A114:D114"/>
    <mergeCell ref="A412:D412"/>
    <mergeCell ref="A37:D37"/>
    <mergeCell ref="A12:D12"/>
    <mergeCell ref="A248:D248"/>
    <mergeCell ref="A104:D104"/>
    <mergeCell ref="A297:D297"/>
    <mergeCell ref="A235:D235"/>
    <mergeCell ref="A406:D406"/>
    <mergeCell ref="A247:D247"/>
    <mergeCell ref="A14:D14"/>
    <mergeCell ref="A185:D185"/>
    <mergeCell ref="A312:D312"/>
    <mergeCell ref="A106:D106"/>
    <mergeCell ref="A404:D404"/>
    <mergeCell ref="A43:D43"/>
    <mergeCell ref="A170:D170"/>
    <mergeCell ref="A130:D130"/>
    <mergeCell ref="A201:D201"/>
    <mergeCell ref="A261:D261"/>
    <mergeCell ref="A138:D138"/>
    <mergeCell ref="A132:D132"/>
    <mergeCell ref="A325:D325"/>
    <mergeCell ref="A186:D186"/>
    <mergeCell ref="A64:D64"/>
    <mergeCell ref="A257:D257"/>
    <mergeCell ref="A9:D9"/>
    <mergeCell ref="A167:D167"/>
    <mergeCell ref="A403:D403"/>
    <mergeCell ref="A232:D232"/>
    <mergeCell ref="A182:D182"/>
    <mergeCell ref="A11:D11"/>
    <mergeCell ref="A98:D98"/>
    <mergeCell ref="A169:D169"/>
    <mergeCell ref="A225:D225"/>
    <mergeCell ref="A396:D396"/>
    <mergeCell ref="A296:D296"/>
    <mergeCell ref="A162:D162"/>
    <mergeCell ref="A398:D398"/>
    <mergeCell ref="A227:D227"/>
    <mergeCell ref="A177:D177"/>
    <mergeCell ref="A179:D179"/>
    <mergeCell ref="A302:D302"/>
    <mergeCell ref="A322:D322"/>
    <mergeCell ref="A116:D116"/>
    <mergeCell ref="A309:D309"/>
    <mergeCell ref="A91:D91"/>
    <mergeCell ref="A389:D389"/>
    <mergeCell ref="A327:D327"/>
    <mergeCell ref="A109:D109"/>
    <mergeCell ref="A16:D16"/>
    <mergeCell ref="A283:D283"/>
    <mergeCell ref="A212:D212"/>
    <mergeCell ref="A448:D448"/>
    <mergeCell ref="A277:D277"/>
    <mergeCell ref="A108:D108"/>
    <mergeCell ref="A375:D375"/>
    <mergeCell ref="A56:D56"/>
    <mergeCell ref="A27:D27"/>
    <mergeCell ref="A154:D154"/>
    <mergeCell ref="A214:D214"/>
    <mergeCell ref="A285:D285"/>
    <mergeCell ref="A390:D390"/>
    <mergeCell ref="A341:D341"/>
    <mergeCell ref="A306:D306"/>
    <mergeCell ref="A85:D85"/>
    <mergeCell ref="A278:D278"/>
    <mergeCell ref="A22:D22"/>
    <mergeCell ref="A401:D401"/>
    <mergeCell ref="A230:D230"/>
    <mergeCell ref="A444:D444"/>
    <mergeCell ref="A414:D414"/>
    <mergeCell ref="A324:D324"/>
    <mergeCell ref="A180:D180"/>
    <mergeCell ref="A72:D72"/>
    <mergeCell ref="A161:D161"/>
    <mergeCell ref="A288:D288"/>
    <mergeCell ref="A250:D250"/>
    <mergeCell ref="A54:D54"/>
    <mergeCell ref="A41:D41"/>
    <mergeCell ref="A416:D416"/>
    <mergeCell ref="A299:D299"/>
    <mergeCell ref="A155:D155"/>
    <mergeCell ref="A293:D293"/>
    <mergeCell ref="A93:D93"/>
    <mergeCell ref="A68:D68"/>
    <mergeCell ref="A391:D391"/>
    <mergeCell ref="A328:D328"/>
    <mergeCell ref="A157:D157"/>
    <mergeCell ref="A246:D246"/>
    <mergeCell ref="A317:D317"/>
    <mergeCell ref="A233:D233"/>
    <mergeCell ref="A229:D229"/>
    <mergeCell ref="A173:D173"/>
    <mergeCell ref="A77:D77"/>
    <mergeCell ref="A310:D310"/>
    <mergeCell ref="A337:D337"/>
    <mergeCell ref="A166:D166"/>
    <mergeCell ref="A303:D303"/>
    <mergeCell ref="A159:D159"/>
    <mergeCell ref="A122:D122"/>
    <mergeCell ref="A97:D97"/>
    <mergeCell ref="A380:D380"/>
    <mergeCell ref="A209:D209"/>
    <mergeCell ref="A195:D195"/>
    <mergeCell ref="A251:D251"/>
    <mergeCell ref="A420:D420"/>
    <mergeCell ref="A395:D395"/>
    <mergeCell ref="A224:D224"/>
    <mergeCell ref="A402:D402"/>
    <mergeCell ref="A103:D103"/>
    <mergeCell ref="A339:D339"/>
    <mergeCell ref="A168:D168"/>
    <mergeCell ref="A255:D255"/>
    <mergeCell ref="A326:D326"/>
    <mergeCell ref="A120:D120"/>
    <mergeCell ref="A239:D239"/>
    <mergeCell ref="A408:D408"/>
    <mergeCell ref="A187:D187"/>
    <mergeCell ref="A451:D451"/>
    <mergeCell ref="A280:D280"/>
    <mergeCell ref="A147:D147"/>
    <mergeCell ref="A38:D38"/>
    <mergeCell ref="A274:D274"/>
    <mergeCell ref="A445:D445"/>
    <mergeCell ref="A432:D432"/>
    <mergeCell ref="A382:D382"/>
    <mergeCell ref="A211:D211"/>
    <mergeCell ref="A67:D67"/>
    <mergeCell ref="A40:D40"/>
    <mergeCell ref="A338:D338"/>
    <mergeCell ref="A148:D148"/>
    <mergeCell ref="A82:D82"/>
    <mergeCell ref="A446:D446"/>
    <mergeCell ref="A275:D275"/>
    <mergeCell ref="A340:D340"/>
    <mergeCell ref="A146:D146"/>
    <mergeCell ref="A66:D66"/>
    <mergeCell ref="A158:D158"/>
    <mergeCell ref="A351:D351"/>
    <mergeCell ref="A301:D301"/>
    <mergeCell ref="A447:D447"/>
    <mergeCell ref="A385:D385"/>
    <mergeCell ref="B5:D5"/>
    <mergeCell ref="A79:D79"/>
    <mergeCell ref="A442:D442"/>
    <mergeCell ref="A429:D429"/>
    <mergeCell ref="A137:D137"/>
    <mergeCell ref="A379:D379"/>
    <mergeCell ref="A330:D330"/>
    <mergeCell ref="A268:D268"/>
    <mergeCell ref="A208:D208"/>
    <mergeCell ref="A366:D366"/>
    <mergeCell ref="A74:D74"/>
    <mergeCell ref="A145:D145"/>
    <mergeCell ref="A272:D272"/>
    <mergeCell ref="A210:D210"/>
    <mergeCell ref="A139:D139"/>
    <mergeCell ref="A381:D381"/>
    <mergeCell ref="A76:D76"/>
    <mergeCell ref="A374:D374"/>
    <mergeCell ref="A203:D203"/>
    <mergeCell ref="A140:D140"/>
    <mergeCell ref="A63:D63"/>
    <mergeCell ref="A92:D92"/>
    <mergeCell ref="A279:D279"/>
    <mergeCell ref="A350:D350"/>
    <mergeCell ref="A17:D17"/>
    <mergeCell ref="A126:D126"/>
    <mergeCell ref="A259:D259"/>
    <mergeCell ref="A424:D424"/>
    <mergeCell ref="A253:D253"/>
    <mergeCell ref="A53:D53"/>
    <mergeCell ref="A411:D411"/>
    <mergeCell ref="A240:D240"/>
    <mergeCell ref="A190:D190"/>
    <mergeCell ref="A19:D19"/>
    <mergeCell ref="A117:D117"/>
    <mergeCell ref="A111:D111"/>
    <mergeCell ref="A353:D353"/>
    <mergeCell ref="A48:D48"/>
    <mergeCell ref="A319:D319"/>
    <mergeCell ref="A142:D142"/>
    <mergeCell ref="A133:D133"/>
    <mergeCell ref="A193:D193"/>
    <mergeCell ref="A263:D263"/>
    <mergeCell ref="A200:D200"/>
    <mergeCell ref="A134:D134"/>
    <mergeCell ref="A29:D29"/>
    <mergeCell ref="A95:D95"/>
    <mergeCell ref="A393:D393"/>
    <mergeCell ref="A443:D443"/>
    <mergeCell ref="A300:D300"/>
    <mergeCell ref="A24:D24"/>
    <mergeCell ref="A266:D266"/>
    <mergeCell ref="A260:D260"/>
    <mergeCell ref="A60:D60"/>
    <mergeCell ref="A358:D358"/>
    <mergeCell ref="A124:D124"/>
    <mergeCell ref="A422:D422"/>
    <mergeCell ref="A360:D360"/>
    <mergeCell ref="A164:D164"/>
    <mergeCell ref="A335:D335"/>
    <mergeCell ref="A149:D149"/>
    <mergeCell ref="A94:D94"/>
    <mergeCell ref="A45:D45"/>
    <mergeCell ref="A287:D287"/>
    <mergeCell ref="A343:D343"/>
    <mergeCell ref="A281:D281"/>
    <mergeCell ref="A69:D69"/>
    <mergeCell ref="A367:D367"/>
    <mergeCell ref="A256:D256"/>
    <mergeCell ref="A87:D87"/>
    <mergeCell ref="A354:D354"/>
    <mergeCell ref="A345:D345"/>
    <mergeCell ref="A436:D436"/>
    <mergeCell ref="A265:D265"/>
    <mergeCell ref="A121:D121"/>
    <mergeCell ref="A357:D357"/>
    <mergeCell ref="A44:D44"/>
    <mergeCell ref="A31:D31"/>
    <mergeCell ref="A202:D202"/>
    <mergeCell ref="A58:D58"/>
    <mergeCell ref="A258:D258"/>
    <mergeCell ref="A329:D329"/>
    <mergeCell ref="A421:D421"/>
    <mergeCell ref="A304:D304"/>
    <mergeCell ref="A73:D73"/>
    <mergeCell ref="A427:D427"/>
    <mergeCell ref="A264:D264"/>
    <mergeCell ref="A369:D369"/>
    <mergeCell ref="A418:D418"/>
    <mergeCell ref="A89:D89"/>
    <mergeCell ref="A356:D356"/>
    <mergeCell ref="A234:D234"/>
    <mergeCell ref="A42:D42"/>
    <mergeCell ref="A188:D188"/>
    <mergeCell ref="A331:D331"/>
    <mergeCell ref="A160:D160"/>
  </mergeCells>
  <hyperlinks>
    <hyperlink ref="B4" r:id="rId1" xr:uid="{1375A85A-3E5A-485E-BE80-BC495B844486}"/>
    <hyperlink ref="B5" r:id="rId2" xr:uid="{0115F76D-D866-48C9-9B3A-8D2862C5A49E}"/>
    <hyperlink ref="B6" r:id="rId3" display="paulo.cavalcanti@pmaiseventos.com" xr:uid="{64EAD38B-1996-494E-B840-F49A8052E3AC}"/>
  </hyperlink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17"/>
  <sheetViews>
    <sheetView showGridLines="0" zoomScaleNormal="100" workbookViewId="0">
      <selection activeCell="I7" sqref="I7"/>
    </sheetView>
  </sheetViews>
  <sheetFormatPr defaultColWidth="8.6640625" defaultRowHeight="14.4" x14ac:dyDescent="0.3"/>
  <cols>
    <col min="1" max="1" width="27.109375" bestFit="1" customWidth="1"/>
    <col min="2" max="6" width="22" customWidth="1"/>
  </cols>
  <sheetData>
    <row r="1" spans="1:6" ht="30" customHeight="1" x14ac:dyDescent="0.3">
      <c r="A1" s="183" t="s">
        <v>475</v>
      </c>
      <c r="B1" s="110"/>
      <c r="C1" s="110"/>
      <c r="D1" s="110"/>
      <c r="E1" s="110"/>
      <c r="F1" s="65" t="e" vm="1">
        <v>#VALUE!</v>
      </c>
    </row>
    <row r="3" spans="1:6" ht="27.75" customHeight="1" x14ac:dyDescent="0.3">
      <c r="A3" s="53" t="s">
        <v>476</v>
      </c>
      <c r="B3" s="53" t="s">
        <v>477</v>
      </c>
      <c r="C3" s="53" t="s">
        <v>478</v>
      </c>
      <c r="D3" s="53" t="s">
        <v>479</v>
      </c>
      <c r="E3" s="53" t="s">
        <v>480</v>
      </c>
      <c r="F3" s="53" t="s">
        <v>481</v>
      </c>
    </row>
    <row r="4" spans="1:6" ht="19.5" customHeight="1" x14ac:dyDescent="0.3">
      <c r="A4" s="54" t="s">
        <v>482</v>
      </c>
      <c r="B4" s="55">
        <f>'Controle de Evento'!F12</f>
        <v>0</v>
      </c>
      <c r="C4" s="56">
        <f>'Controle de Evento'!J12</f>
        <v>0</v>
      </c>
      <c r="D4" s="57">
        <f>'Controle de Evento'!N12</f>
        <v>0</v>
      </c>
      <c r="E4" s="23">
        <f>'Controle de Evento'!V12</f>
        <v>0</v>
      </c>
      <c r="F4" s="58">
        <f>'Controle de Evento'!Z12</f>
        <v>0</v>
      </c>
    </row>
    <row r="5" spans="1:6" ht="19.5" customHeight="1" x14ac:dyDescent="0.3">
      <c r="A5" s="54" t="s">
        <v>483</v>
      </c>
      <c r="B5" s="55">
        <f>'Controle de Evento'!F18</f>
        <v>0</v>
      </c>
      <c r="C5" s="56">
        <f>'Controle de Evento'!J18</f>
        <v>0</v>
      </c>
      <c r="D5" s="57">
        <f>'Controle de Evento'!N18</f>
        <v>0</v>
      </c>
      <c r="E5" s="23">
        <f>'Controle de Evento'!V18</f>
        <v>0</v>
      </c>
      <c r="F5" s="58">
        <f>'Controle de Evento'!Z18</f>
        <v>0</v>
      </c>
    </row>
    <row r="6" spans="1:6" ht="19.5" customHeight="1" x14ac:dyDescent="0.3">
      <c r="A6" s="54" t="s">
        <v>484</v>
      </c>
      <c r="B6" s="55">
        <f>'Controle de Evento'!F24</f>
        <v>0</v>
      </c>
      <c r="C6" s="56">
        <f>'Controle de Evento'!J24</f>
        <v>0</v>
      </c>
      <c r="D6" s="57">
        <f>'Controle de Evento'!N24</f>
        <v>0</v>
      </c>
      <c r="E6" s="23">
        <f>'Controle de Evento'!V24</f>
        <v>0</v>
      </c>
      <c r="F6" s="58">
        <f>'Controle de Evento'!Z24</f>
        <v>0</v>
      </c>
    </row>
    <row r="7" spans="1:6" ht="19.5" customHeight="1" x14ac:dyDescent="0.3">
      <c r="A7" s="54" t="s">
        <v>485</v>
      </c>
      <c r="B7" s="55">
        <f>'Controle de Evento'!F32</f>
        <v>0</v>
      </c>
      <c r="C7" s="56">
        <f>'Controle de Evento'!J32</f>
        <v>0</v>
      </c>
      <c r="D7" s="57">
        <f>'Controle de Evento'!N32</f>
        <v>0</v>
      </c>
      <c r="E7" s="23">
        <f>'Controle de Evento'!V32</f>
        <v>0</v>
      </c>
      <c r="F7" s="58">
        <f>'Controle de Evento'!Z32</f>
        <v>0</v>
      </c>
    </row>
    <row r="8" spans="1:6" ht="19.5" customHeight="1" x14ac:dyDescent="0.3">
      <c r="A8" s="54" t="s">
        <v>486</v>
      </c>
      <c r="B8" s="55">
        <f>'Controle de Evento'!F38</f>
        <v>0</v>
      </c>
      <c r="C8" s="56">
        <f>'Controle de Evento'!J38</f>
        <v>0</v>
      </c>
      <c r="D8" s="57">
        <f>'Controle de Evento'!N38</f>
        <v>0</v>
      </c>
      <c r="E8" s="23">
        <f>'Controle de Evento'!V38</f>
        <v>0</v>
      </c>
      <c r="F8" s="58">
        <f>'Controle de Evento'!Z38</f>
        <v>0</v>
      </c>
    </row>
    <row r="9" spans="1:6" ht="19.5" customHeight="1" x14ac:dyDescent="0.3">
      <c r="A9" s="54" t="s">
        <v>487</v>
      </c>
      <c r="B9" s="55">
        <f>'Controle de Evento'!F46</f>
        <v>0</v>
      </c>
      <c r="C9" s="56">
        <f>'Controle de Evento'!J46</f>
        <v>0</v>
      </c>
      <c r="D9" s="57">
        <f>'Controle de Evento'!N46</f>
        <v>0</v>
      </c>
      <c r="E9" s="23">
        <f>'Controle de Evento'!V46</f>
        <v>0</v>
      </c>
      <c r="F9" s="58">
        <f>'Controle de Evento'!Z46</f>
        <v>0</v>
      </c>
    </row>
    <row r="10" spans="1:6" ht="19.5" customHeight="1" x14ac:dyDescent="0.3">
      <c r="A10" s="54" t="s">
        <v>488</v>
      </c>
      <c r="B10" s="55">
        <f>'Controle de Evento'!F52</f>
        <v>0</v>
      </c>
      <c r="C10" s="56">
        <f>'Controle de Evento'!J52</f>
        <v>0</v>
      </c>
      <c r="D10" s="57">
        <f>'Controle de Evento'!N52</f>
        <v>0</v>
      </c>
      <c r="E10" s="23">
        <f>'Controle de Evento'!V52</f>
        <v>0</v>
      </c>
      <c r="F10" s="58">
        <f>'Controle de Evento'!Z52</f>
        <v>0</v>
      </c>
    </row>
    <row r="11" spans="1:6" ht="19.5" customHeight="1" x14ac:dyDescent="0.3">
      <c r="A11" s="54" t="s">
        <v>489</v>
      </c>
      <c r="B11" s="55">
        <f>'Controle de Evento'!F58</f>
        <v>0</v>
      </c>
      <c r="C11" s="56">
        <f>'Controle de Evento'!J58</f>
        <v>0</v>
      </c>
      <c r="D11" s="57">
        <f>'Controle de Evento'!N58</f>
        <v>0</v>
      </c>
      <c r="E11" s="23">
        <f>'Controle de Evento'!V58</f>
        <v>0</v>
      </c>
      <c r="F11" s="58">
        <f>'Controle de Evento'!Z58</f>
        <v>0</v>
      </c>
    </row>
    <row r="12" spans="1:6" ht="19.5" customHeight="1" x14ac:dyDescent="0.3">
      <c r="A12" s="54" t="s">
        <v>490</v>
      </c>
      <c r="B12" s="55">
        <f>'Controle de Evento'!F66</f>
        <v>0</v>
      </c>
      <c r="C12" s="56">
        <f>'Controle de Evento'!J66</f>
        <v>0</v>
      </c>
      <c r="D12" s="57">
        <f>'Controle de Evento'!N66</f>
        <v>0</v>
      </c>
      <c r="E12" s="23">
        <f>'Controle de Evento'!V66</f>
        <v>0</v>
      </c>
      <c r="F12" s="58">
        <f>'Controle de Evento'!Z66</f>
        <v>0</v>
      </c>
    </row>
    <row r="13" spans="1:6" ht="19.5" customHeight="1" x14ac:dyDescent="0.3">
      <c r="A13" s="54" t="s">
        <v>491</v>
      </c>
      <c r="B13" s="55">
        <f>'Controle de Evento'!F77</f>
        <v>0</v>
      </c>
      <c r="C13" s="56">
        <f>'Controle de Evento'!J77</f>
        <v>0</v>
      </c>
      <c r="D13" s="57">
        <f>'Controle de Evento'!N77</f>
        <v>0</v>
      </c>
      <c r="E13" s="23">
        <f>'Controle de Evento'!V77</f>
        <v>0</v>
      </c>
      <c r="F13" s="58">
        <f>'Controle de Evento'!Z77</f>
        <v>0</v>
      </c>
    </row>
    <row r="14" spans="1:6" ht="19.5" customHeight="1" x14ac:dyDescent="0.3">
      <c r="A14" s="54" t="s">
        <v>492</v>
      </c>
      <c r="B14" s="55">
        <f>'Controle de Evento'!F86</f>
        <v>0</v>
      </c>
      <c r="C14" s="56">
        <f>'Controle de Evento'!J86</f>
        <v>0</v>
      </c>
      <c r="D14" s="57">
        <f>'Controle de Evento'!N86</f>
        <v>0</v>
      </c>
      <c r="E14" s="23">
        <f>'Controle de Evento'!V86</f>
        <v>0</v>
      </c>
      <c r="F14" s="58">
        <f>'Controle de Evento'!Z86</f>
        <v>0</v>
      </c>
    </row>
    <row r="15" spans="1:6" ht="19.5" customHeight="1" x14ac:dyDescent="0.3">
      <c r="A15" s="54" t="s">
        <v>493</v>
      </c>
      <c r="B15" s="55">
        <f>'Controle de Evento'!F90</f>
        <v>0</v>
      </c>
      <c r="C15" s="56">
        <f>'Controle de Evento'!J90</f>
        <v>0</v>
      </c>
      <c r="D15" s="57">
        <f>'Controle de Evento'!N90</f>
        <v>0</v>
      </c>
      <c r="E15" s="23">
        <f>'Controle de Evento'!V90</f>
        <v>0</v>
      </c>
      <c r="F15" s="58">
        <f>'Controle de Evento'!Z90</f>
        <v>0</v>
      </c>
    </row>
    <row r="17" spans="1:6" ht="24.75" customHeight="1" x14ac:dyDescent="0.3">
      <c r="A17" s="59" t="s">
        <v>494</v>
      </c>
      <c r="B17" s="60">
        <f>SUM(B4:B16)</f>
        <v>0</v>
      </c>
      <c r="C17" s="61">
        <f>SUM(C4:C16)</f>
        <v>0</v>
      </c>
      <c r="D17" s="62">
        <f>SUM(D4:D16)</f>
        <v>0</v>
      </c>
      <c r="E17" s="63">
        <f>SUM(E4:E16)</f>
        <v>0</v>
      </c>
      <c r="F17" s="64">
        <f>SUM(F4:F16)</f>
        <v>0</v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03f4ec2-53ef-4a1e-82c3-fbf09f50ee10">
      <Terms xmlns="http://schemas.microsoft.com/office/infopath/2007/PartnerControls"/>
    </lcf76f155ced4ddcb4097134ff3c332f>
    <TaxCatchAll xmlns="bd2cf2fb-266f-4153-a9a6-3c72b1a3a77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821253243ED643922717028D5F6BF0" ma:contentTypeVersion="17" ma:contentTypeDescription="Crie um novo documento." ma:contentTypeScope="" ma:versionID="c4ef7815eb6de4f400f7f5ee9675e259">
  <xsd:schema xmlns:xsd="http://www.w3.org/2001/XMLSchema" xmlns:xs="http://www.w3.org/2001/XMLSchema" xmlns:p="http://schemas.microsoft.com/office/2006/metadata/properties" xmlns:ns2="d03f4ec2-53ef-4a1e-82c3-fbf09f50ee10" xmlns:ns3="bd2cf2fb-266f-4153-a9a6-3c72b1a3a77a" targetNamespace="http://schemas.microsoft.com/office/2006/metadata/properties" ma:root="true" ma:fieldsID="8a536ddbed3352174079b7247f28eee5" ns2:_="" ns3:_="">
    <xsd:import namespace="d03f4ec2-53ef-4a1e-82c3-fbf09f50ee10"/>
    <xsd:import namespace="bd2cf2fb-266f-4153-a9a6-3c72b1a3a7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3f4ec2-53ef-4a1e-82c3-fbf09f50ee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98152db-b5c4-4aac-9c49-3ba2f05daa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2cf2fb-266f-4153-a9a6-3c72b1a3a77a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117dfb50-113f-434f-8a72-fee2a22f9d82}" ma:internalName="TaxCatchAll" ma:showField="CatchAllData" ma:web="bd2cf2fb-266f-4153-a9a6-3c72b1a3a7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F9B36D-59AC-414D-A4A7-A2295F55EFB1}">
  <ds:schemaRefs>
    <ds:schemaRef ds:uri="http://schemas.microsoft.com/office/2006/metadata/properties"/>
    <ds:schemaRef ds:uri="http://schemas.microsoft.com/office/infopath/2007/PartnerControls"/>
    <ds:schemaRef ds:uri="d03f4ec2-53ef-4a1e-82c3-fbf09f50ee10"/>
    <ds:schemaRef ds:uri="bd2cf2fb-266f-4153-a9a6-3c72b1a3a77a"/>
  </ds:schemaRefs>
</ds:datastoreItem>
</file>

<file path=customXml/itemProps2.xml><?xml version="1.0" encoding="utf-8"?>
<ds:datastoreItem xmlns:ds="http://schemas.openxmlformats.org/officeDocument/2006/customXml" ds:itemID="{D447FFDD-D6A6-4CCD-886B-59D2A72941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E3BD23-56FF-40FE-8156-7BF524C630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3f4ec2-53ef-4a1e-82c3-fbf09f50ee10"/>
    <ds:schemaRef ds:uri="bd2cf2fb-266f-4153-a9a6-3c72b1a3a7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Controle de Evento</vt:lpstr>
      <vt:lpstr>Configurações</vt:lpstr>
      <vt:lpstr>Resumo Financeiro</vt:lpstr>
      <vt:lpstr>'Controle de Evento'!Titulos_de_impressao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Paulo Cavalcanti</cp:lastModifiedBy>
  <cp:revision>0</cp:revision>
  <cp:lastPrinted>2026-04-08T12:02:26Z</cp:lastPrinted>
  <dcterms:created xsi:type="dcterms:W3CDTF">2026-04-07T19:08:18Z</dcterms:created>
  <dcterms:modified xsi:type="dcterms:W3CDTF">2026-04-14T12:56:49Z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0x010100DD821253243ED643922717028D5F6BF0</vt:lpwstr>
  </property>
  <property fmtid="{D5CDD505-2E9C-101B-9397-08002B2CF9AE}" pid="3" name="MediaServiceImageTags">
    <vt:lpwstr/>
  </property>
</Properties>
</file>